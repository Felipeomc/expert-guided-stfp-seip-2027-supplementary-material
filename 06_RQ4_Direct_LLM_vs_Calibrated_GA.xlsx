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c2669a04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4" r:id="R253912d36e174165"/>
    <x:sheet xmlns:r="http://schemas.openxmlformats.org/officeDocument/2006/relationships" name="LLM Results" sheetId="1" r:id="Re2cdee28b2ed44d7"/>
    <x:sheet xmlns:r="http://schemas.openxmlformats.org/officeDocument/2006/relationships" name="GA Results" sheetId="2" r:id="Ra4f46354c68141de"/>
    <x:sheet xmlns:r="http://schemas.openxmlformats.org/officeDocument/2006/relationships" name="Comparison" sheetId="3" r:id="R4aa60cae065643c3"/>
    <x:sheet xmlns:r="http://schemas.openxmlformats.org/officeDocument/2006/relationships" name="Source Manifest" sheetId="5" r:id="R5821d88009de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0000000000"/>
    <x:numFmt numFmtId="201" formatCode="0.000000"/>
    <x:numFmt numFmtId="202" formatCode="0.00000000"/>
    <x:numFmt numFmtId="203" formatCode="0.0%"/>
    <x:numFmt numFmtId="204" formatCode="0.0000"/>
    <x:numFmt numFmtId="205" formatCode="0.00%"/>
    <x:numFmt numFmtId="206" formatCode="0%"/>
    <x:numFmt numFmtId="207" formatCode="0.000000000"/>
  </x:numFmts>
  <x:fonts count="14">
    <x:font>
      <x:sz val="11"/>
      <x:name val="Carlito"/>
    </x:font>
    <x:font>
      <x:b/>
      <x:sz val="10"/>
      <x:color rgb="FF2F3337"/>
      <x:name val="Carlito"/>
    </x:font>
    <x:font>
      <x:sz val="9"/>
      <x:color rgb="FF2F3337"/>
      <x:name val="Carlito"/>
    </x:font>
    <x:font>
      <x:b/>
      <x:sz val="15"/>
      <x:color rgb="FF2F3337"/>
      <x:name val="Carlito"/>
    </x:font>
    <x:font>
      <x:sz val="10"/>
      <x:color rgb="FF9299A0"/>
      <x:name val="Carlito"/>
    </x:font>
    <x:font>
      <x:sz val="10"/>
      <x:color rgb="FF2F3337"/>
      <x:name val="Carlito"/>
    </x:font>
    <x:font>
      <x:b/>
      <x:sz val="10"/>
      <x:color rgb="FF1F5A91"/>
      <x:name val="Carlito"/>
    </x:font>
    <x:font>
      <x:b/>
      <x:sz val="11"/>
      <x:color rgb="FF2F3337"/>
      <x:name val="Carlito"/>
    </x:font>
    <x:font>
      <x:b/>
      <x:sz val="9"/>
      <x:color rgb="FF1F5A91"/>
      <x:name val="Carlito"/>
    </x:font>
    <x:font>
      <x:sz val="18"/>
      <x:b/>
      <x:color rgb="FFFFFFFF"/>
      <x:name val="Calibri"/>
    </x:font>
    <x:font>
      <x:sz val="11"/>
      <x:b/>
      <x:color rgb="FF1F3B63"/>
      <x:name val="Calibri"/>
    </x:font>
    <x:font>
      <x:sz val="9"/>
      <x:b/>
      <x:color rgb="FFFFFFFF"/>
      <x:name val="Calibri"/>
    </x:font>
    <x:font>
      <x:sz val="9"/>
      <x:color rgb="FF1F2937"/>
      <x:name val="Calibri"/>
    </x:font>
    <x:font>
      <x:sz val="10"/>
      <x:color rgb="FF1F2937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6F7"/>
      </x:patternFill>
    </x:fill>
    <x:fill>
      <x:patternFill patternType="solid">
        <x:fgColor rgb="FFEDF3F8"/>
      </x:patternFill>
    </x:fill>
    <x:fill>
      <x:patternFill patternType="solid">
        <x:fgColor rgb="FFE6E8EB"/>
      </x:patternFill>
    </x:fill>
    <x:fill>
      <x:patternFill patternType="solid">
        <x:fgColor rgb="FF1F3B63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FCE4D6"/>
      </x:patternFill>
    </x:fill>
  </x:fills>
  <x:borders count="26">
    <x:border/>
    <x:border/>
    <x:border>
      <x:top style="thin">
        <x:color rgb="FFD9DDE1"/>
      </x:top>
      <x:bottom style="medium">
        <x:color rgb="FF9299A0"/>
      </x:bottom>
    </x:border>
    <x:border>
      <x:top style="thin">
        <x:color rgb="FFD9DDE1"/>
      </x:top>
      <x:bottom style="medium">
        <x:color rgb="FF9299A0"/>
      </x:bottom>
    </x:border>
    <x:border>
      <x:bottom style="thin">
        <x:color rgb="FFD9DDE1"/>
      </x:bottom>
    </x:border>
    <x:border>
      <x:top style="thin">
        <x:color rgb="FFD9DDE1"/>
      </x:top>
      <x:bottom style="thin">
        <x:color rgb="FFD9DDE1"/>
      </x:bottom>
    </x:border>
    <x:border>
      <x:top style="thin">
        <x:color rgb="FFD9DDE1"/>
      </x:top>
    </x:border>
    <x:border>
      <x:bottom style="thin">
        <x:color rgb="FFD9DDE1"/>
      </x:bottom>
    </x:border>
    <x:border>
      <x:top style="thin">
        <x:color rgb="FFD9DDE1"/>
      </x:top>
      <x:bottom style="thin">
        <x:color rgb="FFD9DDE1"/>
      </x:bottom>
    </x:border>
    <x:border>
      <x:top style="thin">
        <x:color rgb="FFD9DDE1"/>
      </x:top>
    </x:border>
    <x:border>
      <x:bottom style="medium">
        <x:color rgb="FF2F6EA6"/>
      </x:bottom>
    </x:border>
    <x:border>
      <x:bottom style="medium">
        <x:color rgb="FF2F6EA6"/>
      </x:bottom>
    </x:border>
    <x:border>
      <x:bottom style="thin">
        <x:color rgb="FF9299A0"/>
      </x:bottom>
    </x:border>
    <x:border>
      <x:bottom style="thin">
        <x:color rgb="FF9299A0"/>
      </x:bottom>
    </x:border>
    <x:border>
      <x:left style="thin">
        <x:color rgb="FFD9DDE1"/>
      </x:left>
      <x:top style="thin">
        <x:color rgb="FFD9DDE1"/>
      </x:top>
    </x:border>
    <x:border>
      <x:right style="thin">
        <x:color rgb="FFD9DDE1"/>
      </x:right>
      <x:top style="thin">
        <x:color rgb="FFD9DDE1"/>
      </x:top>
    </x:border>
    <x:border>
      <x:left style="thin">
        <x:color rgb="FFD9DDE1"/>
      </x:left>
    </x:border>
    <x:border>
      <x:right style="thin">
        <x:color rgb="FFD9DDE1"/>
      </x:right>
    </x:border>
    <x:border>
      <x:left style="thin">
        <x:color rgb="FFD9DDE1"/>
      </x:left>
      <x:bottom style="thin">
        <x:color rgb="FFD9DDE1"/>
      </x:bottom>
    </x:border>
    <x:border>
      <x:right style="thin">
        <x:color rgb="FFD9DDE1"/>
      </x:right>
      <x:bottom style="thin">
        <x:color rgb="FFD9DDE1"/>
      </x:bottom>
    </x:border>
    <x:border>
      <x:left style="thin">
        <x:color rgb="FFD9DDE1"/>
      </x:left>
      <x:top style="thin">
        <x:color rgb="FFD9DDE1"/>
      </x:top>
    </x:border>
    <x:border>
      <x:right style="thin">
        <x:color rgb="FFD9DDE1"/>
      </x:right>
      <x:top style="thin">
        <x:color rgb="FFD9DDE1"/>
      </x:top>
    </x:border>
    <x:border>
      <x:left style="thin">
        <x:color rgb="FFD9DDE1"/>
      </x:left>
    </x:border>
    <x:border>
      <x:right style="thin">
        <x:color rgb="FFD9DDE1"/>
      </x:right>
    </x:border>
    <x:border>
      <x:left style="thin">
        <x:color rgb="FFD9DDE1"/>
      </x:left>
      <x:bottom style="thin">
        <x:color rgb="FFD9DDE1"/>
      </x:bottom>
    </x:border>
    <x:border>
      <x:right style="thin">
        <x:color rgb="FFD9DDE1"/>
      </x:right>
      <x:bottom style="thin">
        <x:color rgb="FFD9DDE1"/>
      </x:bottom>
    </x:border>
  </x:borders>
  <x:cellStyleXfs count="1">
    <x:xf numFmtId="0" fontId="0" fillId="0" borderId="0"/>
  </x:cellStyleXfs>
  <x:cellXfs count="3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0" fontId="2" fillId="0" borderId="7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200" fontId="2" fillId="0" borderId="9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2" fillId="0" borderId="4" xfId="0" applyNumberFormat="1" applyFont="1" applyFill="1" applyBorder="1" applyAlignment="1">
      <x:alignment vertical="top"/>
    </x:xf>
    <x:xf numFmtId="202" fontId="2" fillId="0" borderId="5" xfId="0" applyNumberFormat="1" applyFont="1" applyFill="1" applyBorder="1" applyAlignment="1">
      <x:alignment vertical="top"/>
    </x:xf>
    <x:xf numFmtId="202" fontId="2" fillId="0" borderId="6" xfId="0" applyNumberFormat="1" applyFont="1" applyFill="1" applyBorder="1" applyAlignment="1">
      <x:alignment vertical="top"/>
    </x:xf>
    <x:xf numFmtId="202" fontId="2" fillId="0" borderId="7" xfId="0" applyNumberFormat="1" applyFont="1" applyFill="1" applyBorder="1" applyAlignment="1">
      <x:alignment vertical="top"/>
    </x:xf>
    <x:xf numFmtId="202" fontId="2" fillId="0" borderId="8" xfId="0" applyNumberFormat="1" applyFont="1" applyFill="1" applyBorder="1" applyAlignment="1">
      <x:alignment vertical="top"/>
    </x:xf>
    <x:xf numFmtId="202" fontId="2" fillId="0" borderId="9" xfId="0" applyNumberFormat="1" applyFont="1" applyFill="1" applyBorder="1" applyAlignment="1">
      <x:alignment vertical="top"/>
    </x:xf>
    <x:xf numFmtId="203" fontId="2" fillId="0" borderId="4" xfId="0" applyNumberFormat="1" applyFont="1" applyFill="1" applyBorder="1" applyAlignment="1">
      <x:alignment vertical="top"/>
    </x:xf>
    <x:xf numFmtId="203" fontId="2" fillId="0" borderId="5" xfId="0" applyNumberFormat="1" applyFont="1" applyFill="1" applyBorder="1" applyAlignment="1">
      <x:alignment vertical="top"/>
    </x:xf>
    <x:xf numFmtId="203" fontId="2" fillId="0" borderId="6" xfId="0" applyNumberFormat="1" applyFont="1" applyFill="1" applyBorder="1" applyAlignment="1">
      <x:alignment vertical="top"/>
    </x:xf>
    <x:xf numFmtId="203" fontId="2" fillId="0" borderId="7" xfId="0" applyNumberFormat="1" applyFont="1" applyFill="1" applyBorder="1" applyAlignment="1">
      <x:alignment vertical="top"/>
    </x:xf>
    <x:xf numFmtId="203" fontId="2" fillId="0" borderId="8" xfId="0" applyNumberFormat="1" applyFont="1" applyFill="1" applyBorder="1" applyAlignment="1">
      <x:alignment vertical="top"/>
    </x:xf>
    <x:xf numFmtId="203" fontId="2" fillId="0" borderId="9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201" fontId="2" fillId="0" borderId="7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1" fontId="2" fillId="0" borderId="9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 wrapText="1"/>
    </x:xf>
    <x:xf numFmtId="20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 wrapText="1"/>
    </x:xf>
    <x:xf numFmtId="20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 wrapText="1"/>
    </x:xf>
    <x:xf numFmtId="20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 wrapText="1"/>
    </x:xf>
    <x:xf numFmtId="200" fontId="2" fillId="2" borderId="7" xfId="0" applyNumberFormat="1" applyFont="1" applyFill="1" applyBorder="1" applyAlignment="1">
      <x:alignment vertical="top"/>
    </x:xf>
    <x:xf numFmtId="0" fontId="2" fillId="2" borderId="8" xfId="0" applyNumberFormat="1" applyFont="1" applyFill="1" applyBorder="1" applyAlignment="1">
      <x:alignment vertical="top"/>
    </x:xf>
    <x:xf numFmtId="0" fontId="2" fillId="2" borderId="8" xfId="0" applyNumberFormat="1" applyFont="1" applyFill="1" applyBorder="1" applyAlignment="1">
      <x:alignment vertical="top" wrapText="1"/>
    </x:xf>
    <x:xf numFmtId="200" fontId="2" fillId="2" borderId="8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/>
    </x:xf>
    <x:xf numFmtId="203" fontId="2" fillId="2" borderId="4" xfId="0" applyNumberFormat="1" applyFont="1" applyFill="1" applyBorder="1" applyAlignment="1">
      <x:alignment vertical="top"/>
    </x:xf>
    <x:xf numFmtId="202" fontId="2" fillId="2" borderId="4" xfId="0" applyNumberFormat="1" applyFont="1" applyFill="1" applyBorder="1" applyAlignment="1">
      <x:alignment vertical="top"/>
    </x:xf>
    <x:xf numFmtId="201" fontId="2" fillId="2" borderId="4" xfId="0" applyNumberFormat="1" applyFont="1" applyFill="1" applyBorder="1" applyAlignment="1">
      <x:alignment vertical="top"/>
    </x:xf>
    <x:xf numFmtId="203" fontId="2" fillId="2" borderId="5" xfId="0" applyNumberFormat="1" applyFont="1" applyFill="1" applyBorder="1" applyAlignment="1">
      <x:alignment vertical="top"/>
    </x:xf>
    <x:xf numFmtId="202" fontId="2" fillId="2" borderId="5" xfId="0" applyNumberFormat="1" applyFont="1" applyFill="1" applyBorder="1" applyAlignment="1">
      <x:alignment vertical="top"/>
    </x:xf>
    <x:xf numFmtId="201" fontId="2" fillId="2" borderId="5" xfId="0" applyNumberFormat="1" applyFont="1" applyFill="1" applyBorder="1" applyAlignment="1">
      <x:alignment vertical="top"/>
    </x:xf>
    <x:xf numFmtId="203" fontId="2" fillId="2" borderId="6" xfId="0" applyNumberFormat="1" applyFont="1" applyFill="1" applyBorder="1" applyAlignment="1">
      <x:alignment vertical="top"/>
    </x:xf>
    <x:xf numFmtId="202" fontId="2" fillId="2" borderId="6" xfId="0" applyNumberFormat="1" applyFont="1" applyFill="1" applyBorder="1" applyAlignment="1">
      <x:alignment vertical="top"/>
    </x:xf>
    <x:xf numFmtId="201" fontId="2" fillId="2" borderId="6" xfId="0" applyNumberFormat="1" applyFont="1" applyFill="1" applyBorder="1" applyAlignment="1">
      <x:alignment vertical="top"/>
    </x:xf>
    <x:xf numFmtId="203" fontId="2" fillId="2" borderId="7" xfId="0" applyNumberFormat="1" applyFont="1" applyFill="1" applyBorder="1" applyAlignment="1">
      <x:alignment vertical="top"/>
    </x:xf>
    <x:xf numFmtId="202" fontId="2" fillId="2" borderId="7" xfId="0" applyNumberFormat="1" applyFont="1" applyFill="1" applyBorder="1" applyAlignment="1">
      <x:alignment vertical="top"/>
    </x:xf>
    <x:xf numFmtId="201" fontId="2" fillId="2" borderId="7" xfId="0" applyNumberFormat="1" applyFont="1" applyFill="1" applyBorder="1" applyAlignment="1">
      <x:alignment vertical="top"/>
    </x:xf>
    <x:xf numFmtId="203" fontId="2" fillId="2" borderId="8" xfId="0" applyNumberFormat="1" applyFont="1" applyFill="1" applyBorder="1" applyAlignment="1">
      <x:alignment vertical="top"/>
    </x:xf>
    <x:xf numFmtId="202" fontId="2" fillId="2" borderId="8" xfId="0" applyNumberFormat="1" applyFont="1" applyFill="1" applyBorder="1" applyAlignment="1">
      <x:alignment vertical="top"/>
    </x:xf>
    <x:xf numFmtId="201" fontId="2" fillId="2" borderId="8" xfId="0" applyNumberFormat="1" applyFont="1" applyFill="1" applyBorder="1" applyAlignment="1">
      <x:alignment vertical="top"/>
    </x:xf>
    <x:xf numFmtId="203" fontId="2" fillId="2" borderId="9" xfId="0" applyNumberFormat="1" applyFont="1" applyFill="1" applyBorder="1" applyAlignment="1">
      <x:alignment vertical="top"/>
    </x:xf>
    <x:xf numFmtId="202" fontId="2" fillId="2" borderId="9" xfId="0" applyNumberFormat="1" applyFont="1" applyFill="1" applyBorder="1" applyAlignment="1">
      <x:alignment vertical="top"/>
    </x:xf>
    <x:xf numFmtId="201" fontId="2" fillId="2" borderId="9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0" xfId="0" applyNumberFormat="1" applyFont="1" applyFill="1" applyBorder="1" applyAlignment="1">
      <x:alignment horizontal="left"/>
    </x:xf>
    <x:xf numFmtId="0" fontId="3" fillId="2" borderId="11" xfId="0" applyNumberFormat="1" applyFont="1" applyFill="1" applyBorder="1" applyAlignment="1">
      <x:alignment horizontal="left"/>
    </x:xf>
    <x:xf numFmtId="0" fontId="3" fillId="2" borderId="10" xfId="0" applyNumberFormat="1" applyFont="1" applyFill="1" applyBorder="1" applyAlignment="1">
      <x:alignment horizontal="left" vertical="center"/>
    </x:xf>
    <x:xf numFmtId="0" fontId="3" fillId="2" borderId="1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204" fontId="5" fillId="0" borderId="4" xfId="0" applyNumberFormat="1" applyFont="1" applyFill="1" applyBorder="1"/>
    <x:xf numFmtId="204" fontId="5" fillId="0" borderId="5" xfId="0" applyNumberFormat="1" applyFont="1" applyFill="1" applyBorder="1"/>
    <x:xf numFmtId="204" fontId="5" fillId="0" borderId="6" xfId="0" applyNumberFormat="1" applyFont="1" applyFill="1" applyBorder="1"/>
    <x:xf numFmtId="204" fontId="5" fillId="0" borderId="7" xfId="0" applyNumberFormat="1" applyFont="1" applyFill="1" applyBorder="1"/>
    <x:xf numFmtId="204" fontId="5" fillId="0" borderId="8" xfId="0" applyNumberFormat="1" applyFont="1" applyFill="1" applyBorder="1"/>
    <x:xf numFmtId="204" fontId="5" fillId="0" borderId="9" xfId="0" applyNumberFormat="1" applyFont="1" applyFill="1" applyBorder="1"/>
    <x:xf numFmtId="0" fontId="5" fillId="3" borderId="4" xfId="0" applyNumberFormat="1" applyFont="1" applyFill="1" applyBorder="1"/>
    <x:xf numFmtId="204" fontId="5" fillId="3" borderId="4" xfId="0" applyNumberFormat="1" applyFont="1" applyFill="1" applyBorder="1"/>
    <x:xf numFmtId="0" fontId="5" fillId="3" borderId="7" xfId="0" applyNumberFormat="1" applyFont="1" applyFill="1" applyBorder="1"/>
    <x:xf numFmtId="204" fontId="5" fillId="3" borderId="7" xfId="0" applyNumberFormat="1" applyFont="1" applyFill="1" applyBorder="1"/>
    <x:xf numFmtId="0" fontId="5" fillId="2" borderId="5" xfId="0" applyNumberFormat="1" applyFont="1" applyFill="1" applyBorder="1"/>
    <x:xf numFmtId="204" fontId="5" fillId="2" borderId="5" xfId="0" applyNumberFormat="1" applyFont="1" applyFill="1" applyBorder="1"/>
    <x:xf numFmtId="0" fontId="5" fillId="2" borderId="8" xfId="0" applyNumberFormat="1" applyFont="1" applyFill="1" applyBorder="1"/>
    <x:xf numFmtId="204" fontId="5" fillId="2" borderId="8" xfId="0" applyNumberFormat="1" applyFont="1" applyFill="1" applyBorder="1"/>
    <x:xf numFmtId="0" fontId="5" fillId="4" borderId="6" xfId="0" applyNumberFormat="1" applyFont="1" applyFill="1" applyBorder="1"/>
    <x:xf numFmtId="204" fontId="5" fillId="4" borderId="6" xfId="0" applyNumberFormat="1" applyFont="1" applyFill="1" applyBorder="1"/>
    <x:xf numFmtId="0" fontId="5" fillId="4" borderId="9" xfId="0" applyNumberFormat="1" applyFont="1" applyFill="1" applyBorder="1"/>
    <x:xf numFmtId="204" fontId="5" fillId="4" borderId="9" xfId="0" applyNumberFormat="1" applyFont="1" applyFill="1" applyBorder="1"/>
    <x:xf numFmtId="0" fontId="6" fillId="4" borderId="6" xfId="0" applyNumberFormat="1" applyFont="1" applyFill="1" applyBorder="1"/>
    <x:xf numFmtId="204" fontId="6" fillId="4" borderId="6" xfId="0" applyNumberFormat="1" applyFont="1" applyFill="1" applyBorder="1"/>
    <x:xf numFmtId="0" fontId="6" fillId="4" borderId="9" xfId="0" applyNumberFormat="1" applyFont="1" applyFill="1" applyBorder="1"/>
    <x:xf numFmtId="204" fontId="6" fillId="4" borderId="9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4" fontId="6" fillId="0" borderId="5" xfId="0" applyNumberFormat="1" applyFont="1" applyFill="1" applyBorder="1"/>
    <x:xf numFmtId="204" fontId="6" fillId="0" borderId="8" xfId="0" applyNumberFormat="1" applyFont="1" applyFill="1" applyBorder="1"/>
    <x:xf numFmtId="205" fontId="6" fillId="0" borderId="5" xfId="0" applyNumberFormat="1" applyFont="1" applyFill="1" applyBorder="1"/>
    <x:xf numFmtId="205" fontId="6" fillId="0" borderId="8" xfId="0" applyNumberFormat="1" applyFont="1" applyFill="1" applyBorder="1"/>
    <x:xf numFmtId="201" fontId="6" fillId="0" borderId="6" xfId="0" applyNumberFormat="1" applyFont="1" applyFill="1" applyBorder="1"/>
    <x:xf numFmtId="201" fontId="6" fillId="0" borderId="9" xfId="0" applyNumberFormat="1" applyFont="1" applyFill="1" applyBorder="1"/>
    <x:xf numFmtId="206" fontId="5" fillId="0" borderId="4" xfId="0" applyNumberFormat="1" applyFont="1" applyFill="1" applyBorder="1"/>
    <x:xf numFmtId="206" fontId="5" fillId="0" borderId="7" xfId="0" applyNumberFormat="1" applyFont="1" applyFill="1" applyBorder="1"/>
    <x:xf numFmtId="207" fontId="5" fillId="0" borderId="6" xfId="0" applyNumberFormat="1" applyFont="1" applyFill="1" applyBorder="1"/>
    <x:xf numFmtId="207" fontId="5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1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7" xfId="0" applyNumberFormat="1" applyFont="1" applyFill="1" applyBorder="1" applyAlignment="1">
      <x:alignment vertical="center"/>
    </x:xf>
    <x:xf numFmtId="204" fontId="2" fillId="0" borderId="8" xfId="0" applyNumberFormat="1" applyFont="1" applyFill="1" applyBorder="1" applyAlignment="1">
      <x:alignment vertical="center"/>
    </x:xf>
    <x:xf numFmtId="204" fontId="2" fillId="0" borderId="9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205" fontId="2" fillId="0" borderId="7" xfId="0" applyNumberFormat="1" applyFont="1" applyFill="1" applyBorder="1" applyAlignment="1">
      <x:alignment vertical="center"/>
    </x:xf>
    <x:xf numFmtId="205" fontId="2" fillId="0" borderId="8" xfId="0" applyNumberFormat="1" applyFont="1" applyFill="1" applyBorder="1" applyAlignment="1">
      <x:alignment vertical="center"/>
    </x:xf>
    <x:xf numFmtId="205" fontId="2" fillId="0" borderId="9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/>
    </x:xf>
    <x:xf numFmtId="204" fontId="2" fillId="2" borderId="4" xfId="0" applyNumberFormat="1" applyFont="1" applyFill="1" applyBorder="1" applyAlignment="1">
      <x:alignment vertical="center"/>
    </x:xf>
    <x:xf numFmtId="205" fontId="2" fillId="2" borderId="4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204" fontId="2" fillId="2" borderId="5" xfId="0" applyNumberFormat="1" applyFont="1" applyFill="1" applyBorder="1" applyAlignment="1">
      <x:alignment vertical="center"/>
    </x:xf>
    <x:xf numFmtId="205" fontId="2" fillId="2" borderId="5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horizontal="center" vertical="center"/>
    </x:xf>
    <x:xf numFmtId="204" fontId="2" fillId="2" borderId="6" xfId="0" applyNumberFormat="1" applyFont="1" applyFill="1" applyBorder="1" applyAlignment="1">
      <x:alignment vertical="center"/>
    </x:xf>
    <x:xf numFmtId="205" fontId="2" fillId="2" borderId="6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/>
    </x:xf>
    <x:xf numFmtId="204" fontId="2" fillId="2" borderId="7" xfId="0" applyNumberFormat="1" applyFont="1" applyFill="1" applyBorder="1" applyAlignment="1">
      <x:alignment vertical="center"/>
    </x:xf>
    <x:xf numFmtId="205" fontId="2" fillId="2" borderId="7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/>
    </x:xf>
    <x:xf numFmtId="204" fontId="2" fillId="2" borderId="8" xfId="0" applyNumberFormat="1" applyFont="1" applyFill="1" applyBorder="1" applyAlignment="1">
      <x:alignment vertical="center"/>
    </x:xf>
    <x:xf numFmtId="205" fontId="2" fillId="2" borderId="8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horizontal="center" vertical="center"/>
    </x:xf>
    <x:xf numFmtId="204" fontId="2" fillId="2" borderId="9" xfId="0" applyNumberFormat="1" applyFont="1" applyFill="1" applyBorder="1" applyAlignment="1">
      <x:alignment vertical="center"/>
    </x:xf>
    <x:xf numFmtId="205" fontId="2" fillId="2" borderId="9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vertical="center" wrapText="1"/>
    </x:xf>
    <x:xf numFmtId="0" fontId="9" fillId="6" borderId="0" xfId="0" applyFont="1" applyFill="1" applyAlignment="1">
      <x:alignment wrapText="1" vertical="center"/>
    </x:xf>
    <x:xf numFmtId="0" fontId="13" fillId="8" borderId="0" xfId="0" applyFont="1" applyFill="1" applyAlignment="1">
      <x:alignment wrapText="1" vertical="top"/>
    </x:xf>
    <x:xf numFmtId="0" fontId="10" fillId="7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0" fontId="12" fillId="0" borderId="0" xfId="0" applyFont="1" applyFill="1" applyAlignment="1">
      <x:alignment wrapText="1" vertical="top"/>
    </x:xf>
    <x:xf numFmtId="0" fontId="12" fillId="9" borderId="0" xfId="0" applyFont="1" applyFill="1" applyAlignment="1">
      <x:alignment wrapText="1" vertical="top"/>
    </x:xf>
  </x:cellXfs>
  <x:cellStyles count="1">
    <x:cellStyle name="Normal" xfId="0"/>
  </x:cellStyles>
  <x:dxfs count="1">
    <x:dxf>
      <x:font>
        <x:b/>
        <x:color rgb="FF1F5A91"/>
      </x:font>
      <x:fill>
        <x:patternFill patternType="solid">
          <x:bgColor rgb="FFE8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a1b009ecf4383" /><Relationship Type="http://schemas.openxmlformats.org/officeDocument/2006/relationships/theme" Target="/xl/theme/theme1.xml" Id="R22bcae49c87640bb" /><Relationship Type="http://schemas.openxmlformats.org/officeDocument/2006/relationships/sharedStrings" Target="/xl/sharedStrings.xml" Id="Rd471ce3eb89f4bf3" /><Relationship Type="http://schemas.openxmlformats.org/officeDocument/2006/relationships/worksheet" Target="/xl/worksheets/sheet1.xml" Id="Re2cdee28b2ed44d7" /><Relationship Type="http://schemas.openxmlformats.org/officeDocument/2006/relationships/worksheet" Target="/xl/worksheets/sheet2.xml" Id="Ra4f46354c68141de" /><Relationship Type="http://schemas.openxmlformats.org/officeDocument/2006/relationships/worksheet" Target="/xl/worksheets/sheet3.xml" Id="R4aa60cae065643c3" /><Relationship Type="http://schemas.openxmlformats.org/officeDocument/2006/relationships/worksheet" Target="/xl/worksheets/sheet4.xml" Id="R253912d36e174165" /><Relationship Type="http://schemas.openxmlformats.org/officeDocument/2006/relationships/worksheet" Target="/xl/worksheets/sheet5.xml" Id="R5821d88009de4c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996e59e35f4fa8" /><Relationship Type="http://schemas.openxmlformats.org/officeDocument/2006/relationships/chart" Target="/xl/drawings/charts/chart2.xml" Id="R3585e854df2f4a3c" /><Relationship Type="http://schemas.openxmlformats.org/officeDocument/2006/relationships/chart" Target="/xl/drawings/charts/chart3.xml" Id="Rb96194707e7f45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Calibrated GA delivers higher AE in all 16 projects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LLM AE</c:v>
          </c:tx>
          <c:spPr>
            <a:solidFill xmlns:a="http://schemas.openxmlformats.org/drawingml/2006/main">
              <a:srgbClr val="9299A0"/>
            </a:solidFill>
          </c:spPr>
          <c:marker>
            <c:symbol val="none"/>
          </c:marker>
          <c:cat>
            <c:strRef>
              <c:f>'Comparison'!$A$37:$A$52</c:f>
              <c:strCache>
                <c:ptCount val="0"/>
              </c:strCache>
            </c:strRef>
          </c:cat>
          <c:val>
            <c:numRef>
              <c:f>'Comparison'!$B$37:$B$52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GA Best AE</c:v>
          </c:tx>
          <c:spPr>
            <a:solidFill xmlns:a="http://schemas.openxmlformats.org/drawingml/2006/main">
              <a:srgbClr val="2F6EA6"/>
            </a:solidFill>
          </c:spPr>
          <c:marker>
            <c:symbol val="none"/>
          </c:marker>
          <c:cat>
            <c:strRef>
              <c:f>'Comparison'!$A$37:$A$52</c:f>
              <c:strCache>
                <c:ptCount val="0"/>
              </c:strCache>
            </c:strRef>
          </c:cat>
          <c:val>
            <c:numRef>
              <c:f>'Comparison'!$C$37:$C$52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GA’s largest advantage is in collaboration coverage (AC)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Direct LLM</c:v>
          </c:tx>
          <c:spPr>
            <a:solidFill xmlns:a="http://schemas.openxmlformats.org/drawingml/2006/main">
              <a:srgbClr val="C7CBD0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'Comparison'!$B$58:$B$60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GA mean-run</c:v>
          </c:tx>
          <c:spPr>
            <a:solidFill xmlns:a="http://schemas.openxmlformats.org/drawingml/2006/main">
              <a:srgbClr val="9299A0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'Comparison'!$C$58:$C$60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GA best-of-30</c:v>
          </c:tx>
          <c:spPr>
            <a:solidFill xmlns:a="http://schemas.openxmlformats.org/drawingml/2006/main">
              <a:srgbClr val="2F6EA6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'Comparison'!$D$58:$D$60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GA’s AE advantage is positive for every project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GA Best AE Advantage</c:v>
          </c:tx>
          <c:spPr>
            <a:solidFill xmlns:a="http://schemas.openxmlformats.org/drawingml/2006/main">
              <a:srgbClr val="2F6EA6"/>
            </a:solidFill>
          </c:spPr>
          <c:cat>
            <c:strRef>
              <c:f>'Comparison'!$A$77:$A$92</c:f>
              <c:strCache>
                <c:ptCount val="0"/>
              </c:strCache>
            </c:strRef>
          </c:cat>
          <c:val>
            <c:numRef>
              <c:f>'Comparison'!$B$77:$B$92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35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96e59e35f4fa8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85e854df2f4a3c"/>
        </a:graphicData>
      </a:graphic>
    </xdr:graphicFrame>
    <xdr:clientData/>
  </xdr:twoCellAnchor>
  <xdr:twoCellAnchor>
    <xdr:from>
      <xdr:col>4</xdr:col>
      <xdr:colOff>0</xdr:colOff>
      <xdr:row>75</xdr:row>
      <xdr:rowOff>0</xdr:rowOff>
    </xdr:from>
    <xdr:to>
      <xdr:col>14</xdr:col>
      <xdr:colOff>0</xdr:colOff>
      <xdr:row>95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6194707e7f45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LMResultsTable" displayName="LLMResultsTable" ref="A1:BJ17" headerRowCount="1" totalsRowCount="0" totalsRowShown="0">
  <x:autoFilter ref="A1:BJ17"/>
  <x:tableColumns count="62">
    <x:tableColumn id="1" name="Model"/>
    <x:tableColumn id="2" name="Response ID"/>
    <x:tableColumn id="3" name="Response Order"/>
    <x:tableColumn id="4" name="Response File"/>
    <x:tableColumn id="5" name="Response Time (s)"/>
    <x:tableColumn id="6" name="Response Time per Project (s)"/>
    <x:tableColumn id="7" name="Response Time Is Approximate"/>
    <x:tableColumn id="8" name="Project"/>
    <x:tableColumn id="9" name="Project Name"/>
    <x:tableColumn id="10" name="Evaluation Mode"/>
    <x:tableColumn id="11" name="Status"/>
    <x:tableColumn id="12" name="Expected Team Size"/>
    <x:tableColumn id="13" name="Response Team Size"/>
    <x:tableColumn id="14" name="Team Size Valid"/>
    <x:tableColumn id="15" name="Team"/>
    <x:tableColumn id="16" name="Team (CSV)"/>
    <x:tableColumn id="17" name="Unknown IDs"/>
    <x:tableColumn id="18" name="Duplicate IDs"/>
    <x:tableColumn id="19" name="AT"/>
    <x:tableColumn id="20" name="AC"/>
    <x:tableColumn id="21" name="AE"/>
    <x:tableColumn id="22" name="Final Fitness"/>
    <x:tableColumn id="23" name="Raw Surrogate AE"/>
    <x:tableColumn id="24" name="Domain Score"/>
    <x:tableColumn id="25" name="Ecosystem Score"/>
    <x:tableColumn id="26" name="Language Score"/>
    <x:tableColumn id="27" name="Domain MUST Valid"/>
    <x:tableColumn id="28" name="Ecosystem MUST Valid"/>
    <x:tableColumn id="29" name="Language MUST Valid"/>
    <x:tableColumn id="30" name="All MUST Valid"/>
    <x:tableColumn id="31" name="Pair Compatibility Score"/>
    <x:tableColumn id="32" name="Pair Compatibility Label"/>
    <x:tableColumn id="33" name="Total Pairs"/>
    <x:tableColumn id="34" name="Collaboration Pairs"/>
    <x:tableColumn id="35" name="Shared-Project Pairs"/>
    <x:tableColumn id="36" name="Collaboration Count"/>
    <x:tableColumn id="37" name="Project Count"/>
    <x:tableColumn id="38" name="Domain MUST Covered"/>
    <x:tableColumn id="39" name="Domain MUST Total"/>
    <x:tableColumn id="40" name="Ecosystem MUST Covered"/>
    <x:tableColumn id="41" name="Ecosystem MUST Total"/>
    <x:tableColumn id="42" name="Language MUST Covered"/>
    <x:tableColumn id="43" name="Language MUST Total"/>
    <x:tableColumn id="44" name="Domain SHOULD Covered"/>
    <x:tableColumn id="45" name="Domain SHOULD Total"/>
    <x:tableColumn id="46" name="Ecosystem SHOULD Covered"/>
    <x:tableColumn id="47" name="Ecosystem SHOULD Total"/>
    <x:tableColumn id="48" name="Language SHOULD Covered"/>
    <x:tableColumn id="49" name="Language SHOULD Total"/>
    <x:tableColumn id="50" name="Domain COULD Covered"/>
    <x:tableColumn id="51" name="Domain COULD Total"/>
    <x:tableColumn id="52" name="Ecosystem COULD Covered"/>
    <x:tableColumn id="53" name="Ecosystem COULD Total"/>
    <x:tableColumn id="54" name="Language COULD Covered"/>
    <x:tableColumn id="55" name="Language COULD Total"/>
    <x:tableColumn id="56" name="MUST Coverage Summary"/>
    <x:tableColumn id="57" name="SHOULD/COULD Summary"/>
    <x:tableColumn id="58" name="Collaboration Summary"/>
    <x:tableColumn id="59" name="Main Limitation"/>
    <x:tableColumn id="60" name="Team Reasons (JSON)"/>
    <x:tableColumn id="61" name="Surrogate Evaluation Time (s)"/>
    <x:tableColumn id="62" name="Timestamp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AResultsTable" displayName="GAResultsTable" ref="A1:AB17" headerRowCount="1" totalsRowCount="0" totalsRowShown="0">
  <x:autoFilter ref="A1:AB17"/>
  <x:tableColumns count="28">
    <x:tableColumn id="1" name="Project"/>
    <x:tableColumn id="2" name="Original Project ID"/>
    <x:tableColumn id="3" name="Project Name"/>
    <x:tableColumn id="4" name="Method"/>
    <x:tableColumn id="5" name="Evaluation Mode"/>
    <x:tableColumn id="6" name="Runs"/>
    <x:tableColumn id="7" name="Valid Runs"/>
    <x:tableColumn id="8" name="Valid Rate"/>
    <x:tableColumn id="9" name="Best AE"/>
    <x:tableColumn id="10" name="Best AT"/>
    <x:tableColumn id="11" name="Best AC"/>
    <x:tableColumn id="12" name="Best Team"/>
    <x:tableColumn id="13" name="Best Seed"/>
    <x:tableColumn id="14" name="Best Generation"/>
    <x:tableColumn id="15" name="Best Runtime (s)"/>
    <x:tableColumn id="16" name="Best Runtime (min)"/>
    <x:tableColumn id="17" name="Mean AE"/>
    <x:tableColumn id="18" name="Median AE"/>
    <x:tableColumn id="19" name="AE Standard Deviation"/>
    <x:tableColumn id="20" name="Mean AT"/>
    <x:tableColumn id="21" name="Mean AC"/>
    <x:tableColumn id="22" name="Mean Runtime (s)"/>
    <x:tableColumn id="23" name="Median Runtime (s)"/>
    <x:tableColumn id="24" name="Total Runtime (s)"/>
    <x:tableColumn id="25" name="Total Runtime (min)"/>
    <x:tableColumn id="26" name="Mean Generations"/>
    <x:tableColumn id="27" name="Generations for Best Seed"/>
    <x:tableColumn id="28" name="Best-Seed Stop Reas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ojectComparisonTable" displayName="ProjectComparisonTable" ref="A17:R33" headerRowCount="1" totalsRowCount="0" totalsRowShown="0">
  <x:autoFilter ref="A17:R33"/>
  <x:tableColumns count="18">
    <x:tableColumn id="1" name="Project"/>
    <x:tableColumn id="2" name="Team Size"/>
    <x:tableColumn id="3" name="LLM AE"/>
    <x:tableColumn id="4" name="GA Best AE"/>
    <x:tableColumn id="5" name="AE Gap"/>
    <x:tableColumn id="6" name="Relative GA Gain"/>
    <x:tableColumn id="7" name="LLM AT"/>
    <x:tableColumn id="8" name="GA Best AT"/>
    <x:tableColumn id="9" name="AT Gap"/>
    <x:tableColumn id="10" name="LLM AC"/>
    <x:tableColumn id="11" name="GA Best AC"/>
    <x:tableColumn id="12" name="AC Gap"/>
    <x:tableColumn id="13" name="GA Mean AE"/>
    <x:tableColumn id="14" name="Gap vs GA Mean"/>
    <x:tableColumn id="15" name="Winner"/>
    <x:tableColumn id="16" name="LLM Team"/>
    <x:tableColumn id="17" name="GA Best Team"/>
    <x:tableColumn id="18" name="LLM Valid Outpu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ec32ac1c57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ec601cd6ac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b43ff9647a4ecd" /><Relationship Type="http://schemas.openxmlformats.org/officeDocument/2006/relationships/table" Target="/xl/tables/table3.xml" Id="Rc093c698ebb1479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7" hidden="0" customWidth="1"/>
    <x:col min="16" max="16" width="27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  <x:col min="60" max="60" width="30" hidden="0" customWidth="1"/>
    <x:col min="61" max="61" width="14" hidden="0" customWidth="1"/>
    <x:col min="62" max="62" width="20" hidden="0" customWidth="1"/>
  </x:cols>
  <x:sheetData>
    <x:row r="1" ht="34" customHeight="1">
      <x:c r="A1" s="12" t="str">
        <x:v>Model</x:v>
      </x:c>
      <x:c r="B1" s="12" t="str">
        <x:v>Response ID</x:v>
      </x:c>
      <x:c r="C1" s="12" t="str">
        <x:v>Response Order</x:v>
      </x:c>
      <x:c r="D1" s="12" t="str">
        <x:v>Response File</x:v>
      </x:c>
      <x:c r="E1" s="12" t="str">
        <x:v>Response Time (s)</x:v>
      </x:c>
      <x:c r="F1" s="12" t="str">
        <x:v>Response Time per Project (s)</x:v>
      </x:c>
      <x:c r="G1" s="12" t="str">
        <x:v>Response Time Is Approximate</x:v>
      </x:c>
      <x:c r="H1" s="12" t="str">
        <x:v>Project</x:v>
      </x:c>
      <x:c r="I1" s="12" t="str">
        <x:v>Project Name</x:v>
      </x:c>
      <x:c r="J1" s="12" t="str">
        <x:v>Evaluation Mode</x:v>
      </x:c>
      <x:c r="K1" s="12" t="str">
        <x:v>Status</x:v>
      </x:c>
      <x:c r="L1" s="12" t="str">
        <x:v>Expected Team Size</x:v>
      </x:c>
      <x:c r="M1" s="12" t="str">
        <x:v>Response Team Size</x:v>
      </x:c>
      <x:c r="N1" s="12" t="str">
        <x:v>Team Size Valid</x:v>
      </x:c>
      <x:c r="O1" s="12" t="str">
        <x:v>Team</x:v>
      </x:c>
      <x:c r="P1" s="12" t="str">
        <x:v>Team (CSV)</x:v>
      </x:c>
      <x:c r="Q1" s="12" t="str">
        <x:v>Unknown IDs</x:v>
      </x:c>
      <x:c r="R1" s="12" t="str">
        <x:v>Duplicate IDs</x:v>
      </x:c>
      <x:c r="S1" s="12" t="str">
        <x:v>AT</x:v>
      </x:c>
      <x:c r="T1" s="12" t="str">
        <x:v>AC</x:v>
      </x:c>
      <x:c r="U1" s="12" t="str">
        <x:v>AE</x:v>
      </x:c>
      <x:c r="V1" s="12" t="str">
        <x:v>Final Fitness</x:v>
      </x:c>
      <x:c r="W1" s="12" t="str">
        <x:v>Raw Surrogate AE</x:v>
      </x:c>
      <x:c r="X1" s="12" t="str">
        <x:v>AD Score</x:v>
      </x:c>
      <x:c r="Y1" s="12" t="str">
        <x:v>DE Score</x:v>
      </x:c>
      <x:c r="Z1" s="12" t="str">
        <x:v>PL Score</x:v>
      </x:c>
      <x:c r="AA1" s="12" t="str">
        <x:v>AD MUST Valid</x:v>
      </x:c>
      <x:c r="AB1" s="12" t="str">
        <x:v>DE MUST Valid</x:v>
      </x:c>
      <x:c r="AC1" s="12" t="str">
        <x:v>PL MUST Valid</x:v>
      </x:c>
      <x:c r="AD1" s="12" t="str">
        <x:v>All MUST Valid</x:v>
      </x:c>
      <x:c r="AE1" s="12" t="str">
        <x:v>Pair Compatibility Score</x:v>
      </x:c>
      <x:c r="AF1" s="12" t="str">
        <x:v>Pair Compatibility Label</x:v>
      </x:c>
      <x:c r="AG1" s="12" t="str">
        <x:v>Total Pairs</x:v>
      </x:c>
      <x:c r="AH1" s="12" t="str">
        <x:v>Collaboration Pairs</x:v>
      </x:c>
      <x:c r="AI1" s="12" t="str">
        <x:v>Shared-Project Pairs</x:v>
      </x:c>
      <x:c r="AJ1" s="12" t="str">
        <x:v>Collaboration Count</x:v>
      </x:c>
      <x:c r="AK1" s="12" t="str">
        <x:v>Project Count</x:v>
      </x:c>
      <x:c r="AL1" s="12" t="str">
        <x:v>AD MUST Covered</x:v>
      </x:c>
      <x:c r="AM1" s="12" t="str">
        <x:v>AD MUST Total</x:v>
      </x:c>
      <x:c r="AN1" s="12" t="str">
        <x:v>DE MUST Covered</x:v>
      </x:c>
      <x:c r="AO1" s="12" t="str">
        <x:v>DE MUST Total</x:v>
      </x:c>
      <x:c r="AP1" s="12" t="str">
        <x:v>PL MUST Covered</x:v>
      </x:c>
      <x:c r="AQ1" s="12" t="str">
        <x:v>PL MUST Total</x:v>
      </x:c>
      <x:c r="AR1" s="12" t="str">
        <x:v>AD SHOULD Covered</x:v>
      </x:c>
      <x:c r="AS1" s="12" t="str">
        <x:v>AD SHOULD Total</x:v>
      </x:c>
      <x:c r="AT1" s="12" t="str">
        <x:v>DE SHOULD Covered</x:v>
      </x:c>
      <x:c r="AU1" s="12" t="str">
        <x:v>DE SHOULD Total</x:v>
      </x:c>
      <x:c r="AV1" s="12" t="str">
        <x:v>PL SHOULD Covered</x:v>
      </x:c>
      <x:c r="AW1" s="12" t="str">
        <x:v>PL SHOULD Total</x:v>
      </x:c>
      <x:c r="AX1" s="12" t="str">
        <x:v>AD COULD Covered</x:v>
      </x:c>
      <x:c r="AY1" s="12" t="str">
        <x:v>AD COULD Total</x:v>
      </x:c>
      <x:c r="AZ1" s="12" t="str">
        <x:v>DE COULD Covered</x:v>
      </x:c>
      <x:c r="BA1" s="12" t="str">
        <x:v>DE COULD Total</x:v>
      </x:c>
      <x:c r="BB1" s="12" t="str">
        <x:v>PL COULD Covered</x:v>
      </x:c>
      <x:c r="BC1" s="12" t="str">
        <x:v>PL COULD Total</x:v>
      </x:c>
      <x:c r="BD1" s="12" t="str">
        <x:v>MUST Coverage Summary</x:v>
      </x:c>
      <x:c r="BE1" s="12" t="str">
        <x:v>SHOULD/COULD Summary</x:v>
      </x:c>
      <x:c r="BF1" s="12" t="str">
        <x:v>Collaboration Summary</x:v>
      </x:c>
      <x:c r="BG1" s="12" t="str">
        <x:v>Main Limitation</x:v>
      </x:c>
      <x:c r="BH1" s="12" t="str">
        <x:v>Team Reasons (JSON)</x:v>
      </x:c>
      <x:c r="BI1" s="12" t="str">
        <x:v>Surrogate Evaluation Time (s)</x:v>
      </x:c>
      <x:c r="BJ1" s="12" t="str">
        <x:v>Timestamp</x:v>
      </x:c>
    </x:row>
    <x:row r="2" ht="68" customHeight="1">
      <x:c r="A2" s="60" t="str">
        <x:v>GPT-5.6 Sol High</x:v>
      </x:c>
      <x:c r="B2" s="60" t="str">
        <x:v>response_1</x:v>
      </x:c>
      <x:c r="C2" s="60" t="n">
        <x:v>1</x:v>
      </x:c>
      <x:c r="D2" s="61" t="str">
        <x:v>C:\projetos\STFP\Experimento_LLM_NOVO_SEM_VAZAMENTO_DIRETO\response_1_11m_36s_GPT5.6Sol_High.txt</x:v>
      </x:c>
      <x:c r="E2" s="60" t="n">
        <x:v>696</x:v>
      </x:c>
      <x:c r="F2" s="60" t="n">
        <x:v>43.5</x:v>
      </x:c>
      <x:c r="G2" s="60" t="str">
        <x:v>True</x:v>
      </x:c>
      <x:c r="H2" s="60" t="str">
        <x:v>P1</x:v>
      </x:c>
      <x:c r="I2" s="60" t="str">
        <x:v>P1</x:v>
      </x:c>
      <x:c r="J2" s="60" t="str">
        <x:v>AE_FULL_SURROGATE</x:v>
      </x:c>
      <x:c r="K2" s="60" t="str">
        <x:v>OK</x:v>
      </x:c>
      <x:c r="L2" s="60" t="n">
        <x:v>9</x:v>
      </x:c>
      <x:c r="M2" s="60" t="n">
        <x:v>9</x:v>
      </x:c>
      <x:c r="N2" s="60" t="str">
        <x:v>True</x:v>
      </x:c>
      <x:c r="O2" s="61" t="str">
        <x:v>[178, 655, 636, 447, 27, 482, 578, 303, 435]</x:v>
      </x:c>
      <x:c r="P2" s="61" t="str">
        <x:v>178,655,636,447,27,482,578,303,435</x:v>
      </x:c>
      <x:c r="Q2" s="61" t="str">
        <x:v>[]</x:v>
      </x:c>
      <x:c r="R2" s="61" t="str">
        <x:v>[]</x:v>
      </x:c>
      <x:c r="S2" s="62" t="n">
        <x:v>0.571429</x:v>
      </x:c>
      <x:c r="T2" s="62" t="n">
        <x:v>0.4166666666666667</x:v>
      </x:c>
      <x:c r="U2" s="62" t="n">
        <x:v>0.4424603888888889</x:v>
      </x:c>
      <x:c r="V2" s="62" t="n">
        <x:v>0.4424603888888889</x:v>
      </x:c>
      <x:c r="W2" s="62" t="n">
        <x:v>0.4424603888888889</x:v>
      </x:c>
      <x:c r="X2" s="62" t="n">
        <x:v>0.857143</x:v>
      </x:c>
      <x:c r="Y2" s="62" t="n">
        <x:v>0.428572</x:v>
      </x:c>
      <x:c r="Z2" s="62" t="n">
        <x:v>0.428572</x:v>
      </x:c>
      <x:c r="AA2" s="62" t="str">
        <x:v>True</x:v>
      </x:c>
      <x:c r="AB2" s="62" t="str">
        <x:v>True</x:v>
      </x:c>
      <x:c r="AC2" s="62" t="str">
        <x:v>True</x:v>
      </x:c>
      <x:c r="AD2" s="62" t="str">
        <x:v>True</x:v>
      </x:c>
      <x:c r="AE2" s="62" t="n">
        <x:v>0.38888888888888884</x:v>
      </x:c>
      <x:c r="AF2" s="60" t="str">
        <x:v>L</x:v>
      </x:c>
      <x:c r="AG2" s="60" t="n">
        <x:v>36</x:v>
      </x:c>
      <x:c r="AH2" s="60" t="n">
        <x:v>24</x:v>
      </x:c>
      <x:c r="AI2" s="60" t="n">
        <x:v>70</x:v>
      </x:c>
      <x:c r="AJ2" s="60" t="n">
        <x:v>24</x:v>
      </x:c>
      <x:c r="AK2" s="60" t="n">
        <x:v>70</x:v>
      </x:c>
      <x:c r="AL2" s="60" t="n">
        <x:v>2</x:v>
      </x:c>
      <x:c r="AM2" s="60" t="n">
        <x:v>2</x:v>
      </x:c>
      <x:c r="AN2" s="60" t="str"/>
      <x:c r="AO2" s="60" t="str"/>
      <x:c r="AP2" s="60" t="str"/>
      <x:c r="AQ2" s="60" t="str"/>
      <x:c r="AR2" s="60" t="n">
        <x:v>3</x:v>
      </x:c>
      <x:c r="AS2" s="60" t="n">
        <x:v>3</x:v>
      </x:c>
      <x:c r="AT2" s="60" t="n">
        <x:v>8</x:v>
      </x:c>
      <x:c r="AU2" s="60" t="n">
        <x:v>8</x:v>
      </x:c>
      <x:c r="AV2" s="60" t="n">
        <x:v>2</x:v>
      </x:c>
      <x:c r="AW2" s="60" t="n">
        <x:v>2</x:v>
      </x:c>
      <x:c r="AX2" s="60" t="n">
        <x:v>2</x:v>
      </x:c>
      <x:c r="AY2" s="60" t="n">
        <x:v>2</x:v>
      </x:c>
      <x:c r="AZ2" s="60" t="n">
        <x:v>50</x:v>
      </x:c>
      <x:c r="BA2" s="60" t="n">
        <x:v>51</x:v>
      </x:c>
      <x:c r="BB2" s="60" t="n">
        <x:v>12</x:v>
      </x:c>
      <x:c r="BC2" s="60" t="n">
        <x:v>12</x:v>
      </x:c>
      <x:c r="BD2" s="61" t="str">
        <x:v>Complete MUST coverage. Mobile: Dev_178, Dev_655, Dev_636, and others; Web: Dev_178, Dev_655, Dev_636, and others.</x:v>
      </x:c>
      <x:c r="BE2" s="61" t="str">
        <x:v>All 13 SHOULD requirements are covered; examples: Artificial Intelligence, Cloud, AWS, Android, Java, Python. COULD coverage 64/65; gaps: Chrome OS.</x:v>
      </x:c>
      <x:c r="BF2" s="61" t="str">
        <x:v>28/36 pairings have graph edges; strongest examples: Dev_178-Dev_655 (w=1, N=4), Dev_178-Dev_636 (w=0.75, N=3).</x:v>
      </x:c>
      <x:c r="BG2" s="61" t="str">
        <x:v>No MUST/SHOULD gap; remaining COULD gaps: Chrome OS; 8/36 pairings lack graph history.</x:v>
      </x:c>
      <x:c r="BH2" s="61" t="str">
        <x:v>[{"developer_id": 178, "reason": "MUST: Mobile, Web; SHOULD: Artificial Intelligence, Cloud, IoT; COULD: FFmpeg, Firebase; graph history with 7/8 teammates."}, {"developer_id": 655, "reason": "MUST: Mobile, Web; SHOULD: Artificial Intelligence, Cloud, IoT; COULD: Amazon API Gateway, Amazon S3; graph history with 7/8 teammates."}, {"developer_id": 636, "reason": "MUST: Mobile, Web; SHOULD: Artificial Intelligence, Cloud, IoT; COULD: Chart.js, PostgreSQL; graph history with 7/8 teammates."}, {"developer_id": 447, "reason": "MUST: Mobile, Web; SHOULD: Artificial Intelligence, AWS, Android; COULD: MongoDB, EJS; graph history with 7/8 teammates."}, {"developer_id": 27, "reason": "MUST: Mobile, Web; SHOULD: Python; graph history with 7/8 teammates."}, {"developer_id": 482, "reason": "MUST: Mobile, Web; SHOULD: Android, Docker, iOS; COULD: PLC, Progressive Web App (PWA); graph history with 7/8 teammates."}, {"developer_id": 578, "reason": "MUST: Mobile, Web; SHOULD: Artificial Intelligence, Cloud, Android; COULD: Go, .NET; graph history with 7/8 teammates."}, {"developer_id": 303, "reason": "MUST: Mobile, Web; SHOULD: Cloud, Android, Docker; COULD: Digital TV, Hardware."}, {"developer_id": 435, "reason": "MUST: Mobile, Web; SHOULD: Cloud, IoT, AWS; COULD: Jetpack Compose, Kafka; graph history with 7/8 teammates."}]</x:v>
      </x:c>
      <x:c r="BI2" s="61" t="n">
        <x:v>0.003267</x:v>
      </x:c>
      <x:c r="BJ2" s="60" t="str">
        <x:v>2026-08-27T15:51:44</x:v>
      </x:c>
      <x:c r="BK2" s="40"/>
    </x:row>
    <x:row r="3" ht="68" customHeight="1">
      <x:c r="A3" s="63" t="str">
        <x:v>GPT-5.6 Sol High</x:v>
      </x:c>
      <x:c r="B3" s="63" t="str">
        <x:v>response_1</x:v>
      </x:c>
      <x:c r="C3" s="63" t="n">
        <x:v>1</x:v>
      </x:c>
      <x:c r="D3" s="64" t="str">
        <x:v>C:\projetos\STFP\Experimento_LLM_NOVO_SEM_VAZAMENTO_DIRETO\response_1_11m_36s_GPT5.6Sol_High.txt</x:v>
      </x:c>
      <x:c r="E3" s="63" t="n">
        <x:v>696</x:v>
      </x:c>
      <x:c r="F3" s="63" t="n">
        <x:v>43.5</x:v>
      </x:c>
      <x:c r="G3" s="63" t="str">
        <x:v>True</x:v>
      </x:c>
      <x:c r="H3" s="63" t="str">
        <x:v>P2</x:v>
      </x:c>
      <x:c r="I3" s="63" t="str">
        <x:v>P2</x:v>
      </x:c>
      <x:c r="J3" s="63" t="str">
        <x:v>AE_FULL_SURROGATE</x:v>
      </x:c>
      <x:c r="K3" s="63" t="str">
        <x:v>OK</x:v>
      </x:c>
      <x:c r="L3" s="63" t="n">
        <x:v>8</x:v>
      </x:c>
      <x:c r="M3" s="63" t="n">
        <x:v>8</x:v>
      </x:c>
      <x:c r="N3" s="63" t="str">
        <x:v>True</x:v>
      </x:c>
      <x:c r="O3" s="64" t="str">
        <x:v>[169, 479, 177, 354, 676, 545, 525, 165]</x:v>
      </x:c>
      <x:c r="P3" s="64" t="str">
        <x:v>169,479,177,354,676,545,525,165</x:v>
      </x:c>
      <x:c r="Q3" s="64" t="str">
        <x:v>[]</x:v>
      </x:c>
      <x:c r="R3" s="64" t="str">
        <x:v>[]</x:v>
      </x:c>
      <x:c r="S3" s="65" t="n">
        <x:v>0.42857200000000006</x:v>
      </x:c>
      <x:c r="T3" s="65" t="n">
        <x:v>0.39999999999999997</x:v>
      </x:c>
      <x:c r="U3" s="65" t="n">
        <x:v>0.404762</x:v>
      </x:c>
      <x:c r="V3" s="65" t="n">
        <x:v>0.404762</x:v>
      </x:c>
      <x:c r="W3" s="65" t="n">
        <x:v>0.404762</x:v>
      </x:c>
      <x:c r="X3" s="65" t="n">
        <x:v>0.428572</x:v>
      </x:c>
      <x:c r="Y3" s="65" t="n">
        <x:v>0.428572</x:v>
      </x:c>
      <x:c r="Z3" s="65" t="n">
        <x:v>0.428572</x:v>
      </x:c>
      <x:c r="AA3" s="65" t="str">
        <x:v>True</x:v>
      </x:c>
      <x:c r="AB3" s="65" t="str">
        <x:v>True</x:v>
      </x:c>
      <x:c r="AC3" s="65" t="str">
        <x:v>True</x:v>
      </x:c>
      <x:c r="AD3" s="65" t="str">
        <x:v>True</x:v>
      </x:c>
      <x:c r="AE3" s="65" t="n">
        <x:v>0.33571428571428574</x:v>
      </x:c>
      <x:c r="AF3" s="63" t="str">
        <x:v>L</x:v>
      </x:c>
      <x:c r="AG3" s="63" t="n">
        <x:v>28</x:v>
      </x:c>
      <x:c r="AH3" s="63" t="n">
        <x:v>23</x:v>
      </x:c>
      <x:c r="AI3" s="63" t="n">
        <x:v>37</x:v>
      </x:c>
      <x:c r="AJ3" s="63" t="n">
        <x:v>23</x:v>
      </x:c>
      <x:c r="AK3" s="63" t="n">
        <x:v>37</x:v>
      </x:c>
      <x:c r="AL3" s="63" t="str"/>
      <x:c r="AM3" s="63" t="str"/>
      <x:c r="AN3" s="63" t="str"/>
      <x:c r="AO3" s="63" t="str"/>
      <x:c r="AP3" s="63" t="str"/>
      <x:c r="AQ3" s="63" t="str"/>
      <x:c r="AR3" s="63" t="n">
        <x:v>5</x:v>
      </x:c>
      <x:c r="AS3" s="63" t="n">
        <x:v>5</x:v>
      </x:c>
      <x:c r="AT3" s="63" t="n">
        <x:v>8</x:v>
      </x:c>
      <x:c r="AU3" s="63" t="n">
        <x:v>8</x:v>
      </x:c>
      <x:c r="AV3" s="63" t="n">
        <x:v>7</x:v>
      </x:c>
      <x:c r="AW3" s="63" t="n">
        <x:v>7</x:v>
      </x:c>
      <x:c r="AX3" s="63" t="n">
        <x:v>3</x:v>
      </x:c>
      <x:c r="AY3" s="63" t="n">
        <x:v>4</x:v>
      </x:c>
      <x:c r="AZ3" s="63" t="n">
        <x:v>45</x:v>
      </x:c>
      <x:c r="BA3" s="63" t="n">
        <x:v>47</x:v>
      </x:c>
      <x:c r="BB3" s="63" t="n">
        <x:v>6</x:v>
      </x:c>
      <x:c r="BC3" s="63" t="n">
        <x:v>6</x:v>
      </x:c>
      <x:c r="BD3" s="64" t="str">
        <x:v>No MUST requirements are specified.</x:v>
      </x:c>
      <x:c r="BE3" s="64" t="str">
        <x:v>All 20 SHOULD requirements are covered; examples: Artificial Intelligence, Cloud, AWS, Docker, Bash, C. COULD coverage 54/57; gaps: SCADA, MLflow, Mistral.</x:v>
      </x:c>
      <x:c r="BF3" s="64" t="str">
        <x:v>23/28 pairings have graph edges; strongest examples: Dev_479-Dev_165 (w=0.75, N=3), Dev_177-Dev_165 (w=0.75, N=3).</x:v>
      </x:c>
      <x:c r="BG3" s="64" t="str">
        <x:v>No MUST/SHOULD gap; remaining COULD gaps: SCADA, MLflow, Mistral; 5/28 pairings lack graph history.</x:v>
      </x:c>
      <x:c r="BH3" s="64" t="str">
        <x:v>[{"developer_id": 169, "reason": "SHOULD: Artificial Intelligence, Cloud, Embedded Systems; COULD: PyMuPDF, PySpark; graph history with 6/7 teammates."}, {"developer_id": 479, "reason": "SHOULD: Artificial Intelligence, Cloud, IoT; COULD: Ionic, OAuth; graph history with 7/7 teammates."}, {"developer_id": 177, "reason": "SHOULD: Cloud, Embedded Systems, IoT; COULD: H2, MySQL; graph history with 6/7 teammates."}, {"developer_id": 354, "reason": "SHOULD: Artificial Intelligence, Cloud, Web; COULD: Redis, Hardware; graph history with 7/7 teammates."}, {"developer_id": 676, "reason": "SHOULD: Artificial Intelligence, Cloud, Embedded Systems; COULD: Amazon DynamoDB, LLaMA; graph history with 6/7 teammates."}, {"developer_id": 545, "reason": "SHOULD: Embedded Systems, IoT, Web; COULD: Maven, Mosquitto; graph history with 5/7 teammates."}, {"developer_id": 525, "reason": "SHOULD: Artificial Intelligence, Web, AWS; COULD: Mobile, LLaMA; graph history with 5/7 teammates."}, {"developer_id": 165, "reason": "SHOULD: Artificial Intelligence, Web, AWS; COULD: Extended Reality, HTTP; graph history with 4/7 teammates."}]</x:v>
      </x:c>
      <x:c r="BI3" s="64" t="n">
        <x:v>0.000886</x:v>
      </x:c>
      <x:c r="BJ3" s="63" t="str">
        <x:v>2026-08-27T15:51:44</x:v>
      </x:c>
      <x:c r="BK3" s="40"/>
    </x:row>
    <x:row r="4" ht="68" customHeight="1">
      <x:c r="A4" s="63" t="str">
        <x:v>GPT-5.6 Sol High</x:v>
      </x:c>
      <x:c r="B4" s="63" t="str">
        <x:v>response_1</x:v>
      </x:c>
      <x:c r="C4" s="63" t="n">
        <x:v>1</x:v>
      </x:c>
      <x:c r="D4" s="64" t="str">
        <x:v>C:\projetos\STFP\Experimento_LLM_NOVO_SEM_VAZAMENTO_DIRETO\response_1_11m_36s_GPT5.6Sol_High.txt</x:v>
      </x:c>
      <x:c r="E4" s="63" t="n">
        <x:v>696</x:v>
      </x:c>
      <x:c r="F4" s="63" t="n">
        <x:v>43.5</x:v>
      </x:c>
      <x:c r="G4" s="63" t="str">
        <x:v>True</x:v>
      </x:c>
      <x:c r="H4" s="63" t="str">
        <x:v>P3</x:v>
      </x:c>
      <x:c r="I4" s="63" t="str">
        <x:v>P3</x:v>
      </x:c>
      <x:c r="J4" s="63" t="str">
        <x:v>AE_FULL_SURROGATE</x:v>
      </x:c>
      <x:c r="K4" s="63" t="str">
        <x:v>OK</x:v>
      </x:c>
      <x:c r="L4" s="63" t="n">
        <x:v>5</x:v>
      </x:c>
      <x:c r="M4" s="63" t="n">
        <x:v>5</x:v>
      </x:c>
      <x:c r="N4" s="63" t="str">
        <x:v>True</x:v>
      </x:c>
      <x:c r="O4" s="64" t="str">
        <x:v>[538, 351, 473, 154, 181]</x:v>
      </x:c>
      <x:c r="P4" s="64" t="str">
        <x:v>538,351,473,154,181</x:v>
      </x:c>
      <x:c r="Q4" s="64" t="str">
        <x:v>[]</x:v>
      </x:c>
      <x:c r="R4" s="64" t="str">
        <x:v>[]</x:v>
      </x:c>
      <x:c r="S4" s="65" t="n">
        <x:v>0.6190479999999999</x:v>
      </x:c>
      <x:c r="T4" s="65" t="n">
        <x:v>0.62</x:v>
      </x:c>
      <x:c r="U4" s="65" t="n">
        <x:v>0.6192066666666666</x:v>
      </x:c>
      <x:c r="V4" s="65" t="n">
        <x:v>0.6192066666666666</x:v>
      </x:c>
      <x:c r="W4" s="65" t="n">
        <x:v>0.6192066666666666</x:v>
      </x:c>
      <x:c r="X4" s="65" t="n">
        <x:v>0.857143</x:v>
      </x:c>
      <x:c r="Y4" s="65" t="n">
        <x:v>0.857143</x:v>
      </x:c>
      <x:c r="Z4" s="65" t="n">
        <x:v>0.428572</x:v>
      </x:c>
      <x:c r="AA4" s="65" t="str">
        <x:v>True</x:v>
      </x:c>
      <x:c r="AB4" s="65" t="str">
        <x:v>True</x:v>
      </x:c>
      <x:c r="AC4" s="65" t="str">
        <x:v>True</x:v>
      </x:c>
      <x:c r="AD4" s="65" t="str">
        <x:v>True</x:v>
      </x:c>
      <x:c r="AE4" s="65" t="n">
        <x:v>0.58</x:v>
      </x:c>
      <x:c r="AF4" s="63" t="str">
        <x:v>M</x:v>
      </x:c>
      <x:c r="AG4" s="63" t="n">
        <x:v>10</x:v>
      </x:c>
      <x:c r="AH4" s="63" t="n">
        <x:v>7</x:v>
      </x:c>
      <x:c r="AI4" s="63" t="n">
        <x:v>31</x:v>
      </x:c>
      <x:c r="AJ4" s="63" t="n">
        <x:v>7</x:v>
      </x:c>
      <x:c r="AK4" s="63" t="n">
        <x:v>31</x:v>
      </x:c>
      <x:c r="AL4" s="63" t="n">
        <x:v>1</x:v>
      </x:c>
      <x:c r="AM4" s="63" t="n">
        <x:v>1</x:v>
      </x:c>
      <x:c r="AN4" s="63" t="n">
        <x:v>2</x:v>
      </x:c>
      <x:c r="AO4" s="63" t="n">
        <x:v>2</x:v>
      </x:c>
      <x:c r="AP4" s="63" t="str"/>
      <x:c r="AQ4" s="63" t="str"/>
      <x:c r="AR4" s="63" t="n">
        <x:v>3</x:v>
      </x:c>
      <x:c r="AS4" s="63" t="n">
        <x:v>3</x:v>
      </x:c>
      <x:c r="AT4" s="63" t="n">
        <x:v>9</x:v>
      </x:c>
      <x:c r="AU4" s="63" t="n">
        <x:v>9</x:v>
      </x:c>
      <x:c r="AV4" s="63" t="n">
        <x:v>3</x:v>
      </x:c>
      <x:c r="AW4" s="63" t="n">
        <x:v>3</x:v>
      </x:c>
      <x:c r="AX4" s="63" t="n">
        <x:v>1</x:v>
      </x:c>
      <x:c r="AY4" s="63" t="n">
        <x:v>2</x:v>
      </x:c>
      <x:c r="AZ4" s="63" t="n">
        <x:v>31</x:v>
      </x:c>
      <x:c r="BA4" s="63" t="n">
        <x:v>42</x:v>
      </x:c>
      <x:c r="BB4" s="63" t="n">
        <x:v>5</x:v>
      </x:c>
      <x:c r="BC4" s="63" t="n">
        <x:v>6</x:v>
      </x:c>
      <x:c r="BD4" s="64" t="str">
        <x:v>Complete MUST coverage. Cloud: Dev_538, Dev_473, Dev_154, and others; AWS: Dev_538, Dev_473, Dev_154, and others; Docker: Dev_538, Dev_351, Dev_473, and others.</x:v>
      </x:c>
      <x:c r="BE4" s="64" t="str">
        <x:v>All 15 SHOULD requirements are covered; examples: Artificial Intelligence, Mobile, AWS Step Functions, Amazon ECS, HTML, Python. COULD coverage 37/50; gaps: IoT, AWS Glue, Amazon Athena, EJS, Google Gemini, plus others.</x:v>
      </x:c>
      <x:c r="BF4" s="64" t="str">
        <x:v>7/10 pairings have graph edges; strongest examples: Dev_351-Dev_473 (w=0.9, N=5), Dev_473-Dev_154 (w=0.9, N=5).</x:v>
      </x:c>
      <x:c r="BG4" s="64" t="str">
        <x:v>No MUST/SHOULD gap; remaining COULD gaps: IoT, AWS Glue, Amazon Athena, EJS, plus others; 3/10 pairings lack graph history.</x:v>
      </x:c>
      <x:c r="BH4" s="64" t="str">
        <x:v>[{"developer_id": 538, "reason": "MUST: Cloud, AWS, Docker; SHOULD: AWS Step Functions, Amazon ECS, PySpark; COULD: FastAPI, Firebase; graph history with 3/4 teammates."}, {"developer_id": 351, "reason": "MUST: Docker; SHOULD: Artificial Intelligence, Mobile, Web; COULD: .NET, Java; graph history with 4/4 teammates."}, {"developer_id": 473, "reason": "MUST: Cloud, AWS, Docker; SHOULD: Kubernetes, Windows, Python; COULD: scikit-learn, AWS Lambda; graph history with 3/4 teammates."}, {"developer_id": 154, "reason": "MUST: Cloud, AWS, Docker; SHOULD: Artificial Intelligence, Mobile, Web; COULD: HTTP, SAP; graph history with 3/4 teammates."}, {"developer_id": 181, "reason": "MUST: Cloud, AWS, Docker; SHOULD: Mobile, Web, Amazon S3; COULD: Amazon CloudFront, Angular; graph history with 1/4 teammates."}]</x:v>
      </x:c>
      <x:c r="BI4" s="64" t="n">
        <x:v>0.000771</x:v>
      </x:c>
      <x:c r="BJ4" s="63" t="str">
        <x:v>2026-08-27T15:51:44</x:v>
      </x:c>
      <x:c r="BK4" s="40"/>
    </x:row>
    <x:row r="5" ht="68" customHeight="1">
      <x:c r="A5" s="63" t="str">
        <x:v>GPT-5.6 Sol High</x:v>
      </x:c>
      <x:c r="B5" s="63" t="str">
        <x:v>response_1</x:v>
      </x:c>
      <x:c r="C5" s="63" t="n">
        <x:v>1</x:v>
      </x:c>
      <x:c r="D5" s="64" t="str">
        <x:v>C:\projetos\STFP\Experimento_LLM_NOVO_SEM_VAZAMENTO_DIRETO\response_1_11m_36s_GPT5.6Sol_High.txt</x:v>
      </x:c>
      <x:c r="E5" s="63" t="n">
        <x:v>696</x:v>
      </x:c>
      <x:c r="F5" s="63" t="n">
        <x:v>43.5</x:v>
      </x:c>
      <x:c r="G5" s="63" t="str">
        <x:v>True</x:v>
      </x:c>
      <x:c r="H5" s="63" t="str">
        <x:v>P4</x:v>
      </x:c>
      <x:c r="I5" s="63" t="str">
        <x:v>P4</x:v>
      </x:c>
      <x:c r="J5" s="63" t="str">
        <x:v>AE_FULL_SURROGATE</x:v>
      </x:c>
      <x:c r="K5" s="63" t="str">
        <x:v>OK</x:v>
      </x:c>
      <x:c r="L5" s="63" t="n">
        <x:v>9</x:v>
      </x:c>
      <x:c r="M5" s="63" t="n">
        <x:v>9</x:v>
      </x:c>
      <x:c r="N5" s="63" t="str">
        <x:v>True</x:v>
      </x:c>
      <x:c r="O5" s="64" t="str">
        <x:v>[183, 559, 27, 363, 500, 326, 516, 354, 551]</x:v>
      </x:c>
      <x:c r="P5" s="64" t="str">
        <x:v>183,559,27,363,500,326,516,354,551</x:v>
      </x:c>
      <x:c r="Q5" s="64" t="str">
        <x:v>[]</x:v>
      </x:c>
      <x:c r="R5" s="64" t="str">
        <x:v>[]</x:v>
      </x:c>
      <x:c r="S5" s="65" t="n">
        <x:v>0.6190479999999999</x:v>
      </x:c>
      <x:c r="T5" s="65" t="n">
        <x:v>0.4388888888888889</x:v>
      </x:c>
      <x:c r="U5" s="65" t="n">
        <x:v>0.4689154074074074</x:v>
      </x:c>
      <x:c r="V5" s="65" t="n">
        <x:v>0.4689154074074074</x:v>
      </x:c>
      <x:c r="W5" s="65" t="n">
        <x:v>0.4689154074074074</x:v>
      </x:c>
      <x:c r="X5" s="65" t="n">
        <x:v>0.857143</x:v>
      </x:c>
      <x:c r="Y5" s="65" t="n">
        <x:v>0.857143</x:v>
      </x:c>
      <x:c r="Z5" s="65" t="n">
        <x:v>0.428572</x:v>
      </x:c>
      <x:c r="AA5" s="65" t="str">
        <x:v>True</x:v>
      </x:c>
      <x:c r="AB5" s="65" t="str">
        <x:v>True</x:v>
      </x:c>
      <x:c r="AC5" s="65" t="str">
        <x:v>True</x:v>
      </x:c>
      <x:c r="AD5" s="65" t="str">
        <x:v>True</x:v>
      </x:c>
      <x:c r="AE5" s="65" t="n">
        <x:v>0.38888888888888895</x:v>
      </x:c>
      <x:c r="AF5" s="63" t="str">
        <x:v>L</x:v>
      </x:c>
      <x:c r="AG5" s="63" t="n">
        <x:v>36</x:v>
      </x:c>
      <x:c r="AH5" s="63" t="n">
        <x:v>22</x:v>
      </x:c>
      <x:c r="AI5" s="63" t="n">
        <x:v>57</x:v>
      </x:c>
      <x:c r="AJ5" s="63" t="n">
        <x:v>22</x:v>
      </x:c>
      <x:c r="AK5" s="63" t="n">
        <x:v>57</x:v>
      </x:c>
      <x:c r="AL5" s="63" t="n">
        <x:v>1</x:v>
      </x:c>
      <x:c r="AM5" s="63" t="n">
        <x:v>1</x:v>
      </x:c>
      <x:c r="AN5" s="63" t="n">
        <x:v>1</x:v>
      </x:c>
      <x:c r="AO5" s="63" t="n">
        <x:v>1</x:v>
      </x:c>
      <x:c r="AP5" s="63" t="str"/>
      <x:c r="AQ5" s="63" t="str"/>
      <x:c r="AR5" s="63" t="n">
        <x:v>3</x:v>
      </x:c>
      <x:c r="AS5" s="63" t="n">
        <x:v>3</x:v>
      </x:c>
      <x:c r="AT5" s="63" t="n">
        <x:v>10</x:v>
      </x:c>
      <x:c r="AU5" s="63" t="n">
        <x:v>10</x:v>
      </x:c>
      <x:c r="AV5" s="63" t="n">
        <x:v>4</x:v>
      </x:c>
      <x:c r="AW5" s="63" t="n">
        <x:v>4</x:v>
      </x:c>
      <x:c r="AX5" s="63" t="n">
        <x:v>2</x:v>
      </x:c>
      <x:c r="AY5" s="63" t="n">
        <x:v>4</x:v>
      </x:c>
      <x:c r="AZ5" s="63" t="n">
        <x:v>64</x:v>
      </x:c>
      <x:c r="BA5" s="63" t="n">
        <x:v>64</x:v>
      </x:c>
      <x:c r="BB5" s="63" t="n">
        <x:v>10</x:v>
      </x:c>
      <x:c r="BC5" s="63" t="n">
        <x:v>11</x:v>
      </x:c>
      <x:c r="BD5" s="64" t="str">
        <x:v>Complete MUST coverage. Web: Dev_183, Dev_559, Dev_27, and others; AWS: Dev_183, Dev_559, Dev_363, and others.</x:v>
      </x:c>
      <x:c r="BE5" s="64" t="str">
        <x:v>All 17 SHOULD requirements are covered; examples: Artificial Intelligence, Cloud, Android, Angular, C, Java. COULD coverage 76/79; gaps: Desktop Standalone, E-commerce, Go.</x:v>
      </x:c>
      <x:c r="BF5" s="64" t="str">
        <x:v>28/36 pairings have graph edges; strongest examples: Dev_183-Dev_363 (w=1, N=4), Dev_27-Dev_326 (w=1, N=4).</x:v>
      </x:c>
      <x:c r="BG5" s="64" t="str">
        <x:v>No MUST/SHOULD gap; remaining COULD gaps: Desktop Standalone, E-commerce, Go; 8/36 pairings lack graph history.</x:v>
      </x:c>
      <x:c r="BH5" s="64" t="str">
        <x:v>[{"developer_id": 183, "reason": "MUST: Web, AWS; SHOULD: Artificial Intelligence, Cloud, Mobile; COULD: MQTT, Maven; graph history with 6/8 teammates."}, {"developer_id": 559, "reason": "MUST: Web, AWS; SHOULD: Mobile, Angular, Docker; COULD: HMI, Raspberry Pi; graph history with 5/8 teammates."}, {"developer_id": 27, "reason": "MUST: Web; SHOULD: Mobile, Python; graph history with 8/8 teammates."}, {"developer_id": 363, "reason": "MUST: Web, AWS; SHOULD: Cloud, Mobile, Android; COULD: .NET, AWS Lambda; graph history with 7/8 teammates."}, {"developer_id": 500, "reason": "MUST: Web, AWS; SHOULD: Artificial Intelligence, Mobile; COULD: WebSocket, Okta; graph history with 7/8 teammates."}, {"developer_id": 326, "reason": "MUST: Web, AWS; SHOULD: Artificial Intelligence, Cloud, Mobile; COULD: Embedded Systems, Flask; graph history with 6/8 teammates."}, {"developer_id": 516, "reason": "MUST: Web, AWS; SHOULD: Cloud, Mobile, Android; COULD: DVR, .NET; graph history with 7/8 teammates."}, {"developer_id": 354, "reason": "MUST: Web, AWS; SHOULD: Artificial Intelligence, Cloud, Android; COULD: AWS Glue, Amazon Bedrock; graph history with 4/8 teammates."}, {"developer_id": 551, "reason": "MUST: Web, AWS; SHOULD: Artificial Intelligence, Cloud, Mobile; COULD: AWS Secrets Manager, Azure Document Intelligence; graph history with 6/8 teammates."}]</x:v>
      </x:c>
      <x:c r="BI5" s="64" t="n">
        <x:v>0.00095</x:v>
      </x:c>
      <x:c r="BJ5" s="63" t="str">
        <x:v>2026-08-27T15:51:44</x:v>
      </x:c>
      <x:c r="BK5" s="40"/>
    </x:row>
    <x:row r="6" ht="68" customHeight="1">
      <x:c r="A6" s="63" t="str">
        <x:v>GPT-5.6 Sol High</x:v>
      </x:c>
      <x:c r="B6" s="63" t="str">
        <x:v>response_1</x:v>
      </x:c>
      <x:c r="C6" s="63" t="n">
        <x:v>1</x:v>
      </x:c>
      <x:c r="D6" s="64" t="str">
        <x:v>C:\projetos\STFP\Experimento_LLM_NOVO_SEM_VAZAMENTO_DIRETO\response_1_11m_36s_GPT5.6Sol_High.txt</x:v>
      </x:c>
      <x:c r="E6" s="63" t="n">
        <x:v>696</x:v>
      </x:c>
      <x:c r="F6" s="63" t="n">
        <x:v>43.5</x:v>
      </x:c>
      <x:c r="G6" s="63" t="str">
        <x:v>True</x:v>
      </x:c>
      <x:c r="H6" s="63" t="str">
        <x:v>P5</x:v>
      </x:c>
      <x:c r="I6" s="63" t="str">
        <x:v>P5</x:v>
      </x:c>
      <x:c r="J6" s="63" t="str">
        <x:v>AE_FULL_SURROGATE</x:v>
      </x:c>
      <x:c r="K6" s="63" t="str">
        <x:v>OK</x:v>
      </x:c>
      <x:c r="L6" s="63" t="n">
        <x:v>4</x:v>
      </x:c>
      <x:c r="M6" s="63" t="n">
        <x:v>4</x:v>
      </x:c>
      <x:c r="N6" s="63" t="str">
        <x:v>True</x:v>
      </x:c>
      <x:c r="O6" s="64" t="str">
        <x:v>[145, 214, 81, 370]</x:v>
      </x:c>
      <x:c r="P6" s="64" t="str">
        <x:v>145,214,81,370</x:v>
      </x:c>
      <x:c r="Q6" s="64" t="str">
        <x:v>[]</x:v>
      </x:c>
      <x:c r="R6" s="64" t="str">
        <x:v>[]</x:v>
      </x:c>
      <x:c r="S6" s="65" t="n">
        <x:v>0.571429</x:v>
      </x:c>
      <x:c r="T6" s="65" t="n">
        <x:v>0.7</x:v>
      </x:c>
      <x:c r="U6" s="65" t="n">
        <x:v>0.5928575</x:v>
      </x:c>
      <x:c r="V6" s="65" t="n">
        <x:v>0.5928575</x:v>
      </x:c>
      <x:c r="W6" s="65" t="n">
        <x:v>0.5928575</x:v>
      </x:c>
      <x:c r="X6" s="65" t="n">
        <x:v>0.857143</x:v>
      </x:c>
      <x:c r="Y6" s="65" t="n">
        <x:v>0.428572</x:v>
      </x:c>
      <x:c r="Z6" s="65" t="n">
        <x:v>0.428572</x:v>
      </x:c>
      <x:c r="AA6" s="65" t="str">
        <x:v>True</x:v>
      </x:c>
      <x:c r="AB6" s="65" t="str">
        <x:v>True</x:v>
      </x:c>
      <x:c r="AC6" s="65" t="str">
        <x:v>True</x:v>
      </x:c>
      <x:c r="AD6" s="65" t="str">
        <x:v>True</x:v>
      </x:c>
      <x:c r="AE6" s="65" t="n">
        <x:v>0.7000000000000001</x:v>
      </x:c>
      <x:c r="AF6" s="63" t="str">
        <x:v>H</x:v>
      </x:c>
      <x:c r="AG6" s="63" t="n">
        <x:v>6</x:v>
      </x:c>
      <x:c r="AH6" s="63" t="n">
        <x:v>6</x:v>
      </x:c>
      <x:c r="AI6" s="63" t="n">
        <x:v>27</x:v>
      </x:c>
      <x:c r="AJ6" s="63" t="n">
        <x:v>6</x:v>
      </x:c>
      <x:c r="AK6" s="63" t="n">
        <x:v>27</x:v>
      </x:c>
      <x:c r="AL6" s="63" t="n">
        <x:v>1</x:v>
      </x:c>
      <x:c r="AM6" s="63" t="n">
        <x:v>1</x:v>
      </x:c>
      <x:c r="AN6" s="63" t="str"/>
      <x:c r="AO6" s="63" t="str"/>
      <x:c r="AP6" s="63" t="str"/>
      <x:c r="AQ6" s="63" t="str"/>
      <x:c r="AR6" s="63" t="n">
        <x:v>2</x:v>
      </x:c>
      <x:c r="AS6" s="63" t="n">
        <x:v>2</x:v>
      </x:c>
      <x:c r="AT6" s="63" t="n">
        <x:v>5</x:v>
      </x:c>
      <x:c r="AU6" s="63" t="n">
        <x:v>5</x:v>
      </x:c>
      <x:c r="AV6" s="63" t="n">
        <x:v>1</x:v>
      </x:c>
      <x:c r="AW6" s="63" t="n">
        <x:v>1</x:v>
      </x:c>
      <x:c r="AX6" s="63" t="n">
        <x:v>1</x:v>
      </x:c>
      <x:c r="AY6" s="63" t="n">
        <x:v>2</x:v>
      </x:c>
      <x:c r="AZ6" s="63" t="n">
        <x:v>15</x:v>
      </x:c>
      <x:c r="BA6" s="63" t="n">
        <x:v>22</x:v>
      </x:c>
      <x:c r="BB6" s="63" t="n">
        <x:v>8</x:v>
      </x:c>
      <x:c r="BC6" s="63" t="n">
        <x:v>10</x:v>
      </x:c>
      <x:c r="BD6" s="64" t="str">
        <x:v>Complete MUST coverage. Web: Dev_145, Dev_214, Dev_81, and others.</x:v>
      </x:c>
      <x:c r="BE6" s="64" t="str">
        <x:v>All 8 SHOULD requirements are covered; examples: Cloud, Mobile, .NET, Android, Python. COULD coverage 24/34; gaps: Artificial Intelligence, DVR, HMI, Load Cells, NFC, plus others.</x:v>
      </x:c>
      <x:c r="BF6" s="64" t="str">
        <x:v>6/6 pairings have graph edges; strongest examples: Dev_214-Dev_81 (w=0.9, N=5), Dev_81-Dev_370 (w=0.9, N=5).</x:v>
      </x:c>
      <x:c r="BG6" s="64" t="str">
        <x:v>No MUST/SHOULD gap; remaining COULD gaps: Artificial Intelligence, DVR, HMI, Load Cells, plus others.</x:v>
      </x:c>
      <x:c r="BH6" s="64" t="str">
        <x:v>[{"developer_id": 145, "reason": "MUST: Web; SHOULD: Mobile, Python, Cloud; COULD: Okta, Wi-Fi; graph history with 3/3 teammates."}, {"developer_id": 214, "reason": "MUST: Web; SHOULD: Cloud, .NET, Android; COULD: C#, Hardware; graph history with 3/3 teammates."}, {"developer_id": 81, "reason": "MUST: Web; SHOULD: Cloud, .NET, Docker; COULD: Modbus, JavaScript; graph history with 3/3 teammates."}, {"developer_id": 370, "reason": "MUST: Web; SHOULD: Cloud, Android, Docker; COULD: Kafka, OPC UA; graph history with 3/3 teammates."}]</x:v>
      </x:c>
      <x:c r="BI6" s="64" t="n">
        <x:v>0.000602</x:v>
      </x:c>
      <x:c r="BJ6" s="63" t="str">
        <x:v>2026-08-27T15:51:44</x:v>
      </x:c>
      <x:c r="BK6" s="40"/>
    </x:row>
    <x:row r="7" ht="68" customHeight="1">
      <x:c r="A7" s="63" t="str">
        <x:v>GPT-5.6 Sol High</x:v>
      </x:c>
      <x:c r="B7" s="63" t="str">
        <x:v>response_1</x:v>
      </x:c>
      <x:c r="C7" s="63" t="n">
        <x:v>1</x:v>
      </x:c>
      <x:c r="D7" s="64" t="str">
        <x:v>C:\projetos\STFP\Experimento_LLM_NOVO_SEM_VAZAMENTO_DIRETO\response_1_11m_36s_GPT5.6Sol_High.txt</x:v>
      </x:c>
      <x:c r="E7" s="63" t="n">
        <x:v>696</x:v>
      </x:c>
      <x:c r="F7" s="63" t="n">
        <x:v>43.5</x:v>
      </x:c>
      <x:c r="G7" s="63" t="str">
        <x:v>True</x:v>
      </x:c>
      <x:c r="H7" s="63" t="str">
        <x:v>P6</x:v>
      </x:c>
      <x:c r="I7" s="63" t="str">
        <x:v>P6</x:v>
      </x:c>
      <x:c r="J7" s="63" t="str">
        <x:v>AE_FULL_SURROGATE</x:v>
      </x:c>
      <x:c r="K7" s="63" t="str">
        <x:v>OK</x:v>
      </x:c>
      <x:c r="L7" s="63" t="n">
        <x:v>7</x:v>
      </x:c>
      <x:c r="M7" s="63" t="n">
        <x:v>7</x:v>
      </x:c>
      <x:c r="N7" s="63" t="str">
        <x:v>True</x:v>
      </x:c>
      <x:c r="O7" s="64" t="str">
        <x:v>[490, 311, 494, 174, 480, 538, 637]</x:v>
      </x:c>
      <x:c r="P7" s="64" t="str">
        <x:v>490,311,494,174,480,538,637</x:v>
      </x:c>
      <x:c r="Q7" s="64" t="str">
        <x:v>[]</x:v>
      </x:c>
      <x:c r="R7" s="64" t="str">
        <x:v>[]</x:v>
      </x:c>
      <x:c r="S7" s="65" t="n">
        <x:v>0.47619100000000003</x:v>
      </x:c>
      <x:c r="T7" s="65" t="n">
        <x:v>0.538095238095238</x:v>
      </x:c>
      <x:c r="U7" s="65" t="n">
        <x:v>0.486508373015873</x:v>
      </x:c>
      <x:c r="V7" s="65" t="n">
        <x:v>0.486508373015873</x:v>
      </x:c>
      <x:c r="W7" s="65" t="n">
        <x:v>0.486508373015873</x:v>
      </x:c>
      <x:c r="X7" s="65" t="n">
        <x:v>0.428572</x:v>
      </x:c>
      <x:c r="Y7" s="65" t="n">
        <x:v>0.857143</x:v>
      </x:c>
      <x:c r="Z7" s="65" t="n">
        <x:v>0.428572</x:v>
      </x:c>
      <x:c r="AA7" s="65" t="str">
        <x:v>True</x:v>
      </x:c>
      <x:c r="AB7" s="65" t="str">
        <x:v>True</x:v>
      </x:c>
      <x:c r="AC7" s="65" t="str">
        <x:v>True</x:v>
      </x:c>
      <x:c r="AD7" s="65" t="str">
        <x:v>True</x:v>
      </x:c>
      <x:c r="AE7" s="65" t="n">
        <x:v>0.5095238095238095</x:v>
      </x:c>
      <x:c r="AF7" s="63" t="str">
        <x:v>M</x:v>
      </x:c>
      <x:c r="AG7" s="63" t="n">
        <x:v>21</x:v>
      </x:c>
      <x:c r="AH7" s="63" t="n">
        <x:v>14</x:v>
      </x:c>
      <x:c r="AI7" s="63" t="n">
        <x:v>42</x:v>
      </x:c>
      <x:c r="AJ7" s="63" t="n">
        <x:v>14</x:v>
      </x:c>
      <x:c r="AK7" s="63" t="n">
        <x:v>42</x:v>
      </x:c>
      <x:c r="AL7" s="63" t="str"/>
      <x:c r="AM7" s="63" t="str"/>
      <x:c r="AN7" s="63" t="n">
        <x:v>2</x:v>
      </x:c>
      <x:c r="AO7" s="63" t="n">
        <x:v>2</x:v>
      </x:c>
      <x:c r="AP7" s="63" t="str"/>
      <x:c r="AQ7" s="63" t="str"/>
      <x:c r="AR7" s="63" t="n">
        <x:v>3</x:v>
      </x:c>
      <x:c r="AS7" s="63" t="n">
        <x:v>3</x:v>
      </x:c>
      <x:c r="AT7" s="63" t="n">
        <x:v>10</x:v>
      </x:c>
      <x:c r="AU7" s="63" t="n">
        <x:v>10</x:v>
      </x:c>
      <x:c r="AV7" s="63" t="n">
        <x:v>6</x:v>
      </x:c>
      <x:c r="AW7" s="63" t="n">
        <x:v>6</x:v>
      </x:c>
      <x:c r="AX7" s="63" t="n">
        <x:v>2</x:v>
      </x:c>
      <x:c r="AY7" s="63" t="n">
        <x:v>3</x:v>
      </x:c>
      <x:c r="AZ7" s="63" t="n">
        <x:v>31</x:v>
      </x:c>
      <x:c r="BA7" s="63" t="n">
        <x:v>33</x:v>
      </x:c>
      <x:c r="BB7" s="63" t="n">
        <x:v>6</x:v>
      </x:c>
      <x:c r="BC7" s="63" t="n">
        <x:v>7</x:v>
      </x:c>
      <x:c r="BD7" s="64" t="str">
        <x:v>Complete MUST coverage. Android: Dev_490, Dev_311, Dev_494, and others; iOS: Dev_490, Dev_311, Dev_494, and others.</x:v>
      </x:c>
      <x:c r="BE7" s="64" t="str">
        <x:v>All 19 SHOULD requirements are covered; examples: Cloud, Mobile, .NET, AWS, C, C#. COULD coverage 39/43; gaps: Hardware, AWS Glue, SQLAlchemy, HTML.</x:v>
      </x:c>
      <x:c r="BF7" s="64" t="str">
        <x:v>14/21 pairings have graph edges; strongest examples: Dev_490-Dev_311 (w=1, N=4), Dev_311-Dev_494 (w=1, N=4).</x:v>
      </x:c>
      <x:c r="BG7" s="64" t="str">
        <x:v>No MUST/SHOULD gap; remaining COULD gaps: Hardware, AWS Glue, SQLAlchemy, HTML; 7/21 pairings lack graph history.</x:v>
      </x:c>
      <x:c r="BH7" s="64" t="str">
        <x:v>[{"developer_id": 490, "reason": "MUST: Android, iOS; SHOULD: Cloud, Mobile, Web; COULD: Embedded Systems, Google Maps; graph history with 5/6 teammates."}, {"developer_id": 311, "reason": "MUST: Android, iOS; SHOULD: Mobile, Web, Docker; COULD: Linux, Artificial Intelligence; graph history with 5/6 teammates."}, {"developer_id": 494, "reason": "MUST: Android, iOS; SHOULD: React, Spring Boot; graph history with 5/6 teammates."}, {"developer_id": 174, "reason": "MUST: Android, iOS; SHOULD: Cloud, Mobile, Web; COULD: REST API, Firebase; graph history with 4/6 teammates."}, {"developer_id": 480, "reason": "MUST: Android, iOS; SHOULD: Mobile, Web, .NET; COULD: Firebase, Redis; graph history with 5/6 teammates."}, {"developer_id": 538, "reason": "MUST: Android, iOS; SHOULD: Cloud, Mobile, Web; COULD: AWS Step Functions, Amazon ECS."}, {"developer_id": 637, "reason": "MUST: Android, iOS; SHOULD: Mobile, Web, AWS; COULD: Flask, JWT; graph history with 4/6 teammates."}]</x:v>
      </x:c>
      <x:c r="BI7" s="64" t="n">
        <x:v>0.000685</x:v>
      </x:c>
      <x:c r="BJ7" s="63" t="str">
        <x:v>2026-08-27T15:51:44</x:v>
      </x:c>
      <x:c r="BK7" s="40"/>
    </x:row>
    <x:row r="8" ht="68" customHeight="1">
      <x:c r="A8" s="63" t="str">
        <x:v>GPT-5.6 Sol High</x:v>
      </x:c>
      <x:c r="B8" s="63" t="str">
        <x:v>response_1</x:v>
      </x:c>
      <x:c r="C8" s="63" t="n">
        <x:v>1</x:v>
      </x:c>
      <x:c r="D8" s="64" t="str">
        <x:v>C:\projetos\STFP\Experimento_LLM_NOVO_SEM_VAZAMENTO_DIRETO\response_1_11m_36s_GPT5.6Sol_High.txt</x:v>
      </x:c>
      <x:c r="E8" s="63" t="n">
        <x:v>696</x:v>
      </x:c>
      <x:c r="F8" s="63" t="n">
        <x:v>43.5</x:v>
      </x:c>
      <x:c r="G8" s="63" t="str">
        <x:v>True</x:v>
      </x:c>
      <x:c r="H8" s="63" t="str">
        <x:v>P7</x:v>
      </x:c>
      <x:c r="I8" s="63" t="str">
        <x:v>P7</x:v>
      </x:c>
      <x:c r="J8" s="63" t="str">
        <x:v>AE_FULL_SURROGATE</x:v>
      </x:c>
      <x:c r="K8" s="63" t="str">
        <x:v>OK</x:v>
      </x:c>
      <x:c r="L8" s="63" t="n">
        <x:v>5</x:v>
      </x:c>
      <x:c r="M8" s="63" t="n">
        <x:v>5</x:v>
      </x:c>
      <x:c r="N8" s="63" t="str">
        <x:v>True</x:v>
      </x:c>
      <x:c r="O8" s="64" t="str">
        <x:v>[354, 326, 27, 525, 165]</x:v>
      </x:c>
      <x:c r="P8" s="64" t="str">
        <x:v>354,326,27,525,165</x:v>
      </x:c>
      <x:c r="Q8" s="64" t="str">
        <x:v>[]</x:v>
      </x:c>
      <x:c r="R8" s="64" t="str">
        <x:v>[]</x:v>
      </x:c>
      <x:c r="S8" s="65" t="n">
        <x:v>0.571429</x:v>
      </x:c>
      <x:c r="T8" s="65" t="n">
        <x:v>0.5</x:v>
      </x:c>
      <x:c r="U8" s="65" t="n">
        <x:v>0.5119048333333334</x:v>
      </x:c>
      <x:c r="V8" s="65" t="n">
        <x:v>0.5119048333333334</x:v>
      </x:c>
      <x:c r="W8" s="65" t="n">
        <x:v>0.5119048333333334</x:v>
      </x:c>
      <x:c r="X8" s="65" t="n">
        <x:v>0.857143</x:v>
      </x:c>
      <x:c r="Y8" s="65" t="n">
        <x:v>0.428572</x:v>
      </x:c>
      <x:c r="Z8" s="65" t="n">
        <x:v>0.428572</x:v>
      </x:c>
      <x:c r="AA8" s="65" t="str">
        <x:v>True</x:v>
      </x:c>
      <x:c r="AB8" s="65" t="str">
        <x:v>True</x:v>
      </x:c>
      <x:c r="AC8" s="65" t="str">
        <x:v>True</x:v>
      </x:c>
      <x:c r="AD8" s="65" t="str">
        <x:v>True</x:v>
      </x:c>
      <x:c r="AE8" s="65" t="n">
        <x:v>0.5399999999999999</x:v>
      </x:c>
      <x:c r="AF8" s="63" t="str">
        <x:v>M</x:v>
      </x:c>
      <x:c r="AG8" s="63" t="n">
        <x:v>10</x:v>
      </x:c>
      <x:c r="AH8" s="63" t="n">
        <x:v>9</x:v>
      </x:c>
      <x:c r="AI8" s="63" t="n">
        <x:v>19</x:v>
      </x:c>
      <x:c r="AJ8" s="63" t="n">
        <x:v>9</x:v>
      </x:c>
      <x:c r="AK8" s="63" t="n">
        <x:v>19</x:v>
      </x:c>
      <x:c r="AL8" s="63" t="n">
        <x:v>1</x:v>
      </x:c>
      <x:c r="AM8" s="63" t="n">
        <x:v>1</x:v>
      </x:c>
      <x:c r="AN8" s="63" t="str"/>
      <x:c r="AO8" s="63" t="str"/>
      <x:c r="AP8" s="63" t="str"/>
      <x:c r="AQ8" s="63" t="str"/>
      <x:c r="AR8" s="63" t="n">
        <x:v>4</x:v>
      </x:c>
      <x:c r="AS8" s="63" t="n">
        <x:v>4</x:v>
      </x:c>
      <x:c r="AT8" s="63" t="n">
        <x:v>21</x:v>
      </x:c>
      <x:c r="AU8" s="63" t="n">
        <x:v>21</x:v>
      </x:c>
      <x:c r="AV8" s="63" t="n">
        <x:v>4</x:v>
      </x:c>
      <x:c r="AW8" s="63" t="n">
        <x:v>4</x:v>
      </x:c>
      <x:c r="AX8" s="63" t="n">
        <x:v>1</x:v>
      </x:c>
      <x:c r="AY8" s="63" t="n">
        <x:v>1</x:v>
      </x:c>
      <x:c r="AZ8" s="63" t="n">
        <x:v>33</x:v>
      </x:c>
      <x:c r="BA8" s="63" t="n">
        <x:v>33</x:v>
      </x:c>
      <x:c r="BB8" s="63" t="n">
        <x:v>6</x:v>
      </x:c>
      <x:c r="BC8" s="63" t="n">
        <x:v>6</x:v>
      </x:c>
      <x:c r="BD8" s="64" t="str">
        <x:v>Complete MUST coverage. Web: Dev_354, Dev_326, Dev_27, and others.</x:v>
      </x:c>
      <x:c r="BE8" s="64" t="str">
        <x:v>All 29 SHOULD requirements are covered; examples: Artificial Intelligence, Cloud, AWS, Android, CSS, HTML. All 40 COULD requirements are covered.</x:v>
      </x:c>
      <x:c r="BF8" s="64" t="str">
        <x:v>9/10 pairings have graph edges; strongest examples: Dev_326-Dev_27 (w=1, N=4), Dev_525-Dev_165 (w=0.75, N=3).</x:v>
      </x:c>
      <x:c r="BG8" s="64" t="str">
        <x:v>No technical coverage gap; 1/10 pairings lack recorded graph history.</x:v>
      </x:c>
      <x:c r="BH8" s="64" t="str">
        <x:v>[{"developer_id": 354, "reason": "MUST: Web; SHOULD: Artificial Intelligence, Cloud, Hardware; COULD: AWS Glue, Amazon Bedrock; graph history with 4/4 teammates."}, {"developer_id": 326, "reason": "MUST: Web; SHOULD: SAP, Artificial Intelligence, Cloud; COULD: Embedded Systems, BeautifulSoup; graph history with 3/4 teammates."}, {"developer_id": 27, "reason": "MUST: Web; SHOULD: Mobile, Python; graph history with 4/4 teammates."}, {"developer_id": 525, "reason": "MUST: Web; SHOULD: Artificial Intelligence, Mobile, AWS; COULD: PLC, Vue.js; graph history with 4/4 teammates."}, {"developer_id": 165, "reason": "MUST: Web; SHOULD: Artificial Intelligence, Mobile, AWS; COULD: Flask, HTTP; graph history with 3/4 teammates."}]</x:v>
      </x:c>
      <x:c r="BI8" s="64" t="n">
        <x:v>0.000753</x:v>
      </x:c>
      <x:c r="BJ8" s="63" t="str">
        <x:v>2026-08-27T15:51:44</x:v>
      </x:c>
      <x:c r="BK8" s="40"/>
    </x:row>
    <x:row r="9" ht="68" customHeight="1">
      <x:c r="A9" s="63" t="str">
        <x:v>GPT-5.6 Sol High</x:v>
      </x:c>
      <x:c r="B9" s="63" t="str">
        <x:v>response_1</x:v>
      </x:c>
      <x:c r="C9" s="63" t="n">
        <x:v>1</x:v>
      </x:c>
      <x:c r="D9" s="64" t="str">
        <x:v>C:\projetos\STFP\Experimento_LLM_NOVO_SEM_VAZAMENTO_DIRETO\response_1_11m_36s_GPT5.6Sol_High.txt</x:v>
      </x:c>
      <x:c r="E9" s="63" t="n">
        <x:v>696</x:v>
      </x:c>
      <x:c r="F9" s="63" t="n">
        <x:v>43.5</x:v>
      </x:c>
      <x:c r="G9" s="63" t="str">
        <x:v>True</x:v>
      </x:c>
      <x:c r="H9" s="63" t="str">
        <x:v>P8</x:v>
      </x:c>
      <x:c r="I9" s="63" t="str">
        <x:v>P8</x:v>
      </x:c>
      <x:c r="J9" s="63" t="str">
        <x:v>AE_FULL_SURROGATE</x:v>
      </x:c>
      <x:c r="K9" s="63" t="str">
        <x:v>OK</x:v>
      </x:c>
      <x:c r="L9" s="63" t="n">
        <x:v>5</x:v>
      </x:c>
      <x:c r="M9" s="63" t="n">
        <x:v>5</x:v>
      </x:c>
      <x:c r="N9" s="63" t="str">
        <x:v>True</x:v>
      </x:c>
      <x:c r="O9" s="64" t="str">
        <x:v>[145, 81, 214, 688, 543]</x:v>
      </x:c>
      <x:c r="P9" s="64" t="str">
        <x:v>145,81,214,688,543</x:v>
      </x:c>
      <x:c r="Q9" s="64" t="str">
        <x:v>[]</x:v>
      </x:c>
      <x:c r="R9" s="64" t="str">
        <x:v>[]</x:v>
      </x:c>
      <x:c r="S9" s="65" t="n">
        <x:v>0.6190479999999999</x:v>
      </x:c>
      <x:c r="T9" s="65" t="n">
        <x:v>0.52</x:v>
      </x:c>
      <x:c r="U9" s="65" t="n">
        <x:v>0.536508</x:v>
      </x:c>
      <x:c r="V9" s="65" t="n">
        <x:v>0.536508</x:v>
      </x:c>
      <x:c r="W9" s="65" t="n">
        <x:v>0.536508</x:v>
      </x:c>
      <x:c r="X9" s="65" t="n">
        <x:v>0.857143</x:v>
      </x:c>
      <x:c r="Y9" s="65" t="n">
        <x:v>0.857143</x:v>
      </x:c>
      <x:c r="Z9" s="65" t="n">
        <x:v>0.428572</x:v>
      </x:c>
      <x:c r="AA9" s="65" t="str">
        <x:v>True</x:v>
      </x:c>
      <x:c r="AB9" s="65" t="str">
        <x:v>True</x:v>
      </x:c>
      <x:c r="AC9" s="65" t="str">
        <x:v>True</x:v>
      </x:c>
      <x:c r="AD9" s="65" t="str">
        <x:v>True</x:v>
      </x:c>
      <x:c r="AE9" s="65" t="n">
        <x:v>0.44000000000000006</x:v>
      </x:c>
      <x:c r="AF9" s="63" t="str">
        <x:v>M</x:v>
      </x:c>
      <x:c r="AG9" s="63" t="n">
        <x:v>10</x:v>
      </x:c>
      <x:c r="AH9" s="63" t="n">
        <x:v>9</x:v>
      </x:c>
      <x:c r="AI9" s="63" t="n">
        <x:v>28</x:v>
      </x:c>
      <x:c r="AJ9" s="63" t="n">
        <x:v>9</x:v>
      </x:c>
      <x:c r="AK9" s="63" t="n">
        <x:v>28</x:v>
      </x:c>
      <x:c r="AL9" s="63" t="n">
        <x:v>1</x:v>
      </x:c>
      <x:c r="AM9" s="63" t="n">
        <x:v>1</x:v>
      </x:c>
      <x:c r="AN9" s="63" t="n">
        <x:v>1</x:v>
      </x:c>
      <x:c r="AO9" s="63" t="n">
        <x:v>1</x:v>
      </x:c>
      <x:c r="AP9" s="63" t="str"/>
      <x:c r="AQ9" s="63" t="str"/>
      <x:c r="AR9" s="63" t="n">
        <x:v>2</x:v>
      </x:c>
      <x:c r="AS9" s="63" t="n">
        <x:v>2</x:v>
      </x:c>
      <x:c r="AT9" s="63" t="n">
        <x:v>8</x:v>
      </x:c>
      <x:c r="AU9" s="63" t="n">
        <x:v>8</x:v>
      </x:c>
      <x:c r="AV9" s="63" t="n">
        <x:v>8</x:v>
      </x:c>
      <x:c r="AW9" s="63" t="n">
        <x:v>8</x:v>
      </x:c>
      <x:c r="AX9" s="63" t="n">
        <x:v>2</x:v>
      </x:c>
      <x:c r="AY9" s="63" t="n">
        <x:v>2</x:v>
      </x:c>
      <x:c r="AZ9" s="63" t="n">
        <x:v>24</x:v>
      </x:c>
      <x:c r="BA9" s="63" t="n">
        <x:v>28</x:v>
      </x:c>
      <x:c r="BB9" s="63" t="n">
        <x:v>1</x:v>
      </x:c>
      <x:c r="BC9" s="63" t="n">
        <x:v>2</x:v>
      </x:c>
      <x:c r="BD9" s="64" t="str">
        <x:v>Complete MUST coverage. Web: Dev_145, Dev_81, Dev_214, and others; AWS: Dev_145, Dev_81, Dev_214, and others.</x:v>
      </x:c>
      <x:c r="BE9" s="64" t="str">
        <x:v>All 18 SHOULD requirements are covered; examples: Cloud, Mobile, Android, Angular, C, CSS. COULD coverage 27/32; gaps: Amazon Cognito, Amazon DynamoDB, Ionic, Unity, SCSS.</x:v>
      </x:c>
      <x:c r="BF9" s="64" t="str">
        <x:v>9/10 pairings have graph edges; strongest examples: Dev_81-Dev_214 (w=0.9, N=5), Dev_145-Dev_81 (w=0.8, N=6).</x:v>
      </x:c>
      <x:c r="BG9" s="64" t="str">
        <x:v>No MUST/SHOULD gap; remaining COULD gaps: Amazon Cognito, Amazon DynamoDB, Ionic, Unity, plus others; 1/10 pairings lack graph history.</x:v>
      </x:c>
      <x:c r="BH9" s="64" t="str">
        <x:v>[{"developer_id": 145, "reason": "MUST: Web, AWS; SHOULD: Mobile, Cloud, Android; COULD: OAuth, Spring Security; graph history with 4/4 teammates."}, {"developer_id": 81, "reason": "MUST: Web, AWS; SHOULD: Cloud, Angular, Docker; COULD: MongoDB, Hardware; graph history with 4/4 teammates."}, {"developer_id": 214, "reason": "MUST: Web, AWS; SHOULD: Cloud, Android, Angular; COULD: Raspberry Pi, WebSocket; graph history with 3/4 teammates."}, {"developer_id": 688, "reason": "MUST: Web, AWS; SHOULD: Angular, Docker, Node.js; COULD: SCADA, NestJS; graph history with 3/4 teammates."}, {"developer_id": 543, "reason": "MUST: Web; SHOULD: Android, Docker, SAP; COULD: Amazon Polly, Falcon; graph history with 4/4 teammates."}]</x:v>
      </x:c>
      <x:c r="BI9" s="64" t="n">
        <x:v>0.000742</x:v>
      </x:c>
      <x:c r="BJ9" s="63" t="str">
        <x:v>2026-08-27T15:51:44</x:v>
      </x:c>
      <x:c r="BK9" s="40"/>
    </x:row>
    <x:row r="10" ht="68" customHeight="1">
      <x:c r="A10" s="63" t="str">
        <x:v>GPT-5.6 Sol High</x:v>
      </x:c>
      <x:c r="B10" s="63" t="str">
        <x:v>response_1</x:v>
      </x:c>
      <x:c r="C10" s="63" t="n">
        <x:v>1</x:v>
      </x:c>
      <x:c r="D10" s="64" t="str">
        <x:v>C:\projetos\STFP\Experimento_LLM_NOVO_SEM_VAZAMENTO_DIRETO\response_1_11m_36s_GPT5.6Sol_High.txt</x:v>
      </x:c>
      <x:c r="E10" s="63" t="n">
        <x:v>696</x:v>
      </x:c>
      <x:c r="F10" s="63" t="n">
        <x:v>43.5</x:v>
      </x:c>
      <x:c r="G10" s="63" t="str">
        <x:v>True</x:v>
      </x:c>
      <x:c r="H10" s="63" t="str">
        <x:v>P9</x:v>
      </x:c>
      <x:c r="I10" s="63" t="str">
        <x:v>P9</x:v>
      </x:c>
      <x:c r="J10" s="63" t="str">
        <x:v>AE_FULL_SURROGATE</x:v>
      </x:c>
      <x:c r="K10" s="63" t="str">
        <x:v>OK</x:v>
      </x:c>
      <x:c r="L10" s="63" t="n">
        <x:v>6</x:v>
      </x:c>
      <x:c r="M10" s="63" t="n">
        <x:v>6</x:v>
      </x:c>
      <x:c r="N10" s="63" t="str">
        <x:v>True</x:v>
      </x:c>
      <x:c r="O10" s="64" t="str">
        <x:v>[449, 492, 473, 351, 154, 538]</x:v>
      </x:c>
      <x:c r="P10" s="64" t="str">
        <x:v>449,492,473,351,154,538</x:v>
      </x:c>
      <x:c r="Q10" s="64" t="str">
        <x:v>[]</x:v>
      </x:c>
      <x:c r="R10" s="64" t="str">
        <x:v>[]</x:v>
      </x:c>
      <x:c r="S10" s="65" t="n">
        <x:v>0.42857200000000006</x:v>
      </x:c>
      <x:c r="T10" s="65" t="n">
        <x:v>0.5533333333333333</x:v>
      </x:c>
      <x:c r="U10" s="65" t="n">
        <x:v>0.4493655555555556</x:v>
      </x:c>
      <x:c r="V10" s="65" t="n">
        <x:v>0.4493655555555556</x:v>
      </x:c>
      <x:c r="W10" s="65" t="n">
        <x:v>0.4493655555555556</x:v>
      </x:c>
      <x:c r="X10" s="65" t="n">
        <x:v>0.428572</x:v>
      </x:c>
      <x:c r="Y10" s="65" t="n">
        <x:v>0.428572</x:v>
      </x:c>
      <x:c r="Z10" s="65" t="n">
        <x:v>0.428572</x:v>
      </x:c>
      <x:c r="AA10" s="65" t="str">
        <x:v>True</x:v>
      </x:c>
      <x:c r="AB10" s="65" t="str">
        <x:v>True</x:v>
      </x:c>
      <x:c r="AC10" s="65" t="str">
        <x:v>True</x:v>
      </x:c>
      <x:c r="AD10" s="65" t="str">
        <x:v>True</x:v>
      </x:c>
      <x:c r="AE10" s="65" t="n">
        <x:v>0.5</x:v>
      </x:c>
      <x:c r="AF10" s="63" t="str">
        <x:v>M</x:v>
      </x:c>
      <x:c r="AG10" s="63" t="n">
        <x:v>15</x:v>
      </x:c>
      <x:c r="AH10" s="63" t="n">
        <x:v>11</x:v>
      </x:c>
      <x:c r="AI10" s="63" t="n">
        <x:v>38</x:v>
      </x:c>
      <x:c r="AJ10" s="63" t="n">
        <x:v>11</x:v>
      </x:c>
      <x:c r="AK10" s="63" t="n">
        <x:v>38</x:v>
      </x:c>
      <x:c r="AL10" s="63" t="str"/>
      <x:c r="AM10" s="63" t="str"/>
      <x:c r="AN10" s="63" t="str"/>
      <x:c r="AO10" s="63" t="str"/>
      <x:c r="AP10" s="63" t="str"/>
      <x:c r="AQ10" s="63" t="str"/>
      <x:c r="AR10" s="63" t="n">
        <x:v>1</x:v>
      </x:c>
      <x:c r="AS10" s="63" t="n">
        <x:v>1</x:v>
      </x:c>
      <x:c r="AT10" s="63" t="n">
        <x:v>3</x:v>
      </x:c>
      <x:c r="AU10" s="63" t="n">
        <x:v>3</x:v>
      </x:c>
      <x:c r="AV10" s="63" t="n">
        <x:v>1</x:v>
      </x:c>
      <x:c r="AW10" s="63" t="n">
        <x:v>1</x:v>
      </x:c>
      <x:c r="AX10" s="63" t="n">
        <x:v>8</x:v>
      </x:c>
      <x:c r="AY10" s="63" t="n">
        <x:v>8</x:v>
      </x:c>
      <x:c r="AZ10" s="63" t="n">
        <x:v>56</x:v>
      </x:c>
      <x:c r="BA10" s="63" t="n">
        <x:v>56</x:v>
      </x:c>
      <x:c r="BB10" s="63" t="n">
        <x:v>7</x:v>
      </x:c>
      <x:c r="BC10" s="63" t="n">
        <x:v>7</x:v>
      </x:c>
      <x:c r="BD10" s="64" t="str">
        <x:v>No MUST requirements are specified.</x:v>
      </x:c>
      <x:c r="BE10" s="64" t="str">
        <x:v>All 5 SHOULD requirements are covered; examples: Mobile, Docker, REST API, Python. All 71 COULD requirements are covered.</x:v>
      </x:c>
      <x:c r="BF10" s="64" t="str">
        <x:v>11/15 pairings have graph edges; strongest examples: Dev_473-Dev_351 (w=0.9, N=5), Dev_473-Dev_154 (w=0.9, N=5).</x:v>
      </x:c>
      <x:c r="BG10" s="64" t="str">
        <x:v>No technical coverage gap; 4/15 pairings lack recorded graph history.</x:v>
      </x:c>
      <x:c r="BH10" s="64" t="str">
        <x:v>[{"developer_id": 449, "reason": "SHOULD: Mobile, Docker, REST API; COULD: Desktop Standalone, Embedded Systems; graph history with 3/5 teammates."}, {"developer_id": 492, "reason": "SHOULD: Mobile, Docker, REST API; COULD: IoT, Angular; graph history with 3/5 teammates."}, {"developer_id": 473, "reason": "SHOULD: Docker, Windows, Python; COULD: scikit-learn, Cloud; graph history with 5/5 teammates."}, {"developer_id": 351, "reason": "SHOULD: Mobile, Docker, REST API; COULD: Artificial Intelligence, Web; graph history with 4/5 teammates."}, {"developer_id": 154, "reason": "SHOULD: Mobile, Docker, REST API; COULD: Artificial Intelligence, Cloud; graph history with 4/5 teammates."}, {"developer_id": 538, "reason": "SHOULD: Mobile, Docker, Windows; COULD: Artificial Intelligence, Cloud; graph history with 3/5 teammates."}]</x:v>
      </x:c>
      <x:c r="BI10" s="64" t="n">
        <x:v>0.000675</x:v>
      </x:c>
      <x:c r="BJ10" s="63" t="str">
        <x:v>2026-08-27T15:51:44</x:v>
      </x:c>
      <x:c r="BK10" s="40"/>
    </x:row>
    <x:row r="11" ht="68" customHeight="1">
      <x:c r="A11" s="63" t="str">
        <x:v>GPT-5.6 Sol High</x:v>
      </x:c>
      <x:c r="B11" s="63" t="str">
        <x:v>response_1</x:v>
      </x:c>
      <x:c r="C11" s="63" t="n">
        <x:v>1</x:v>
      </x:c>
      <x:c r="D11" s="64" t="str">
        <x:v>C:\projetos\STFP\Experimento_LLM_NOVO_SEM_VAZAMENTO_DIRETO\response_1_11m_36s_GPT5.6Sol_High.txt</x:v>
      </x:c>
      <x:c r="E11" s="63" t="n">
        <x:v>696</x:v>
      </x:c>
      <x:c r="F11" s="63" t="n">
        <x:v>43.5</x:v>
      </x:c>
      <x:c r="G11" s="63" t="str">
        <x:v>True</x:v>
      </x:c>
      <x:c r="H11" s="63" t="str">
        <x:v>P10</x:v>
      </x:c>
      <x:c r="I11" s="63" t="str">
        <x:v>P10</x:v>
      </x:c>
      <x:c r="J11" s="63" t="str">
        <x:v>AE_FULL_SURROGATE</x:v>
      </x:c>
      <x:c r="K11" s="63" t="str">
        <x:v>OK</x:v>
      </x:c>
      <x:c r="L11" s="63" t="n">
        <x:v>8</x:v>
      </x:c>
      <x:c r="M11" s="63" t="n">
        <x:v>8</x:v>
      </x:c>
      <x:c r="N11" s="63" t="str">
        <x:v>True</x:v>
      </x:c>
      <x:c r="O11" s="64" t="str">
        <x:v>[183, 354, 27, 615, 181, 532, 363, 486]</x:v>
      </x:c>
      <x:c r="P11" s="64" t="str">
        <x:v>183,354,27,615,181,532,363,486</x:v>
      </x:c>
      <x:c r="Q11" s="64" t="str">
        <x:v>[]</x:v>
      </x:c>
      <x:c r="R11" s="64" t="str">
        <x:v>[]</x:v>
      </x:c>
      <x:c r="S11" s="65" t="n">
        <x:v>0.571429</x:v>
      </x:c>
      <x:c r="T11" s="65" t="n">
        <x:v>0.5214285714285714</x:v>
      </x:c>
      <x:c r="U11" s="65" t="n">
        <x:v>0.5297619761904762</x:v>
      </x:c>
      <x:c r="V11" s="65" t="n">
        <x:v>0.5297619761904762</x:v>
      </x:c>
      <x:c r="W11" s="65" t="n">
        <x:v>0.5297619761904762</x:v>
      </x:c>
      <x:c r="X11" s="65" t="n">
        <x:v>0.857143</x:v>
      </x:c>
      <x:c r="Y11" s="65" t="n">
        <x:v>0.428572</x:v>
      </x:c>
      <x:c r="Z11" s="65" t="n">
        <x:v>0.428572</x:v>
      </x:c>
      <x:c r="AA11" s="65" t="str">
        <x:v>True</x:v>
      </x:c>
      <x:c r="AB11" s="65" t="str">
        <x:v>True</x:v>
      </x:c>
      <x:c r="AC11" s="65" t="str">
        <x:v>True</x:v>
      </x:c>
      <x:c r="AD11" s="65" t="str">
        <x:v>True</x:v>
      </x:c>
      <x:c r="AE11" s="65" t="n">
        <x:v>0.4571428571428572</x:v>
      </x:c>
      <x:c r="AF11" s="63" t="str">
        <x:v>M</x:v>
      </x:c>
      <x:c r="AG11" s="63" t="n">
        <x:v>28</x:v>
      </x:c>
      <x:c r="AH11" s="63" t="n">
        <x:v>22</x:v>
      </x:c>
      <x:c r="AI11" s="63" t="n">
        <x:v>60</x:v>
      </x:c>
      <x:c r="AJ11" s="63" t="n">
        <x:v>22</x:v>
      </x:c>
      <x:c r="AK11" s="63" t="n">
        <x:v>60</x:v>
      </x:c>
      <x:c r="AL11" s="63" t="n">
        <x:v>1</x:v>
      </x:c>
      <x:c r="AM11" s="63" t="n">
        <x:v>1</x:v>
      </x:c>
      <x:c r="AN11" s="63" t="str"/>
      <x:c r="AO11" s="63" t="str"/>
      <x:c r="AP11" s="63" t="str"/>
      <x:c r="AQ11" s="63" t="str"/>
      <x:c r="AR11" s="63" t="n">
        <x:v>4</x:v>
      </x:c>
      <x:c r="AS11" s="63" t="n">
        <x:v>4</x:v>
      </x:c>
      <x:c r="AT11" s="63" t="n">
        <x:v>18</x:v>
      </x:c>
      <x:c r="AU11" s="63" t="n">
        <x:v>18</x:v>
      </x:c>
      <x:c r="AV11" s="63" t="n">
        <x:v>5</x:v>
      </x:c>
      <x:c r="AW11" s="63" t="n">
        <x:v>5</x:v>
      </x:c>
      <x:c r="AX11" s="63" t="n">
        <x:v>1</x:v>
      </x:c>
      <x:c r="AY11" s="63" t="n">
        <x:v>1</x:v>
      </x:c>
      <x:c r="AZ11" s="63" t="n">
        <x:v>55</x:v>
      </x:c>
      <x:c r="BA11" s="63" t="n">
        <x:v>61</x:v>
      </x:c>
      <x:c r="BB11" s="63" t="n">
        <x:v>7</x:v>
      </x:c>
      <x:c r="BC11" s="63" t="n">
        <x:v>10</x:v>
      </x:c>
      <x:c r="BD11" s="64" t="str">
        <x:v>Complete MUST coverage. Web: Dev_183, Dev_354, Dev_27, and others.</x:v>
      </x:c>
      <x:c r="BE11" s="64" t="str">
        <x:v>All 27 SHOULD requirements are covered; examples: Artificial Intelligence, Cloud, AWS, AWS Glue, CSS, HTML. COULD coverage 64/72; gaps: FFmpeg, Langflow, Microsoft SharePoint, PLC, WMI, plus others.</x:v>
      </x:c>
      <x:c r="BF11" s="64" t="str">
        <x:v>23/28 pairings have graph edges; strongest examples: Dev_183-Dev_363 (w=1, N=4), Dev_27-Dev_486 (w=1, N=4).</x:v>
      </x:c>
      <x:c r="BG11" s="64" t="str">
        <x:v>No MUST/SHOULD gap; remaining COULD gaps: FFmpeg, Langflow, Microsoft SharePoint, PLC, plus others; 5/28 pairings lack graph history.</x:v>
      </x:c>
      <x:c r="BH11" s="64" t="str">
        <x:v>[{"developer_id": 183, "reason": "MUST: Web; SHOULD: Snowflake, Artificial Intelligence, Cloud; COULD: AWS Step Functions, ESC/POS; graph history with 7/7 teammates."}, {"developer_id": 354, "reason": "MUST: Web; SHOULD: AWS Glue, Artificial Intelligence, Cloud; COULD: ChromaDB, Claude; graph history with 4/7 teammates."}, {"developer_id": 27, "reason": "MUST: Web; SHOULD: Mobile, Python; graph history with 7/7 teammates."}, {"developer_id": 615, "reason": "MUST: Web; SHOULD: Artificial Intelligence, Cloud, Mobile; COULD: Azure OpenAI, Google Gemini; graph history with 6/7 teammates."}, {"developer_id": 181, "reason": "MUST: Web; SHOULD: Cloud, Hardware, Mobile; COULD: Metabase, Raspberry Pi; graph history with 4/7 teammates."}, {"developer_id": 532, "reason": "MUST: Web; SHOULD: Artificial Intelligence, Cloud, Mobile; COULD: JavaScript, Maven; graph history with 6/7 teammates."}, {"developer_id": 363, "reason": "MUST: Web; SHOULD: Cloud, Mobile, AWS; COULD: .NET, AWS Lambda; graph history with 6/7 teammates."}, {"developer_id": 486, "reason": "MUST: Web; SHOULD: Artificial Intelligence, Cloud, Mobile; COULD: AWS Textract, Amazon SQS; graph history with 6/7 teammates."}]</x:v>
      </x:c>
      <x:c r="BI11" s="64" t="n">
        <x:v>0.000786</x:v>
      </x:c>
      <x:c r="BJ11" s="63" t="str">
        <x:v>2026-08-27T15:51:44</x:v>
      </x:c>
      <x:c r="BK11" s="40"/>
    </x:row>
    <x:row r="12" ht="68" customHeight="1">
      <x:c r="A12" s="63" t="str">
        <x:v>GPT-5.6 Sol High</x:v>
      </x:c>
      <x:c r="B12" s="63" t="str">
        <x:v>response_1</x:v>
      </x:c>
      <x:c r="C12" s="63" t="n">
        <x:v>1</x:v>
      </x:c>
      <x:c r="D12" s="64" t="str">
        <x:v>C:\projetos\STFP\Experimento_LLM_NOVO_SEM_VAZAMENTO_DIRETO\response_1_11m_36s_GPT5.6Sol_High.txt</x:v>
      </x:c>
      <x:c r="E12" s="63" t="n">
        <x:v>696</x:v>
      </x:c>
      <x:c r="F12" s="63" t="n">
        <x:v>43.5</x:v>
      </x:c>
      <x:c r="G12" s="63" t="str">
        <x:v>True</x:v>
      </x:c>
      <x:c r="H12" s="63" t="str">
        <x:v>P11</x:v>
      </x:c>
      <x:c r="I12" s="63" t="str">
        <x:v>P11</x:v>
      </x:c>
      <x:c r="J12" s="63" t="str">
        <x:v>AE_FULL_SURROGATE</x:v>
      </x:c>
      <x:c r="K12" s="63" t="str">
        <x:v>OK</x:v>
      </x:c>
      <x:c r="L12" s="63" t="n">
        <x:v>9</x:v>
      </x:c>
      <x:c r="M12" s="63" t="n">
        <x:v>9</x:v>
      </x:c>
      <x:c r="N12" s="63" t="str">
        <x:v>True</x:v>
      </x:c>
      <x:c r="O12" s="64" t="str">
        <x:v>[205, 250, 154, 349, 716, 398, 202, 536, 143]</x:v>
      </x:c>
      <x:c r="P12" s="64" t="str">
        <x:v>205,250,154,349,716,398,202,536,143</x:v>
      </x:c>
      <x:c r="Q12" s="64" t="str">
        <x:v>[]</x:v>
      </x:c>
      <x:c r="R12" s="64" t="str">
        <x:v>[]</x:v>
      </x:c>
      <x:c r="S12" s="65" t="n">
        <x:v>0.42857200000000006</x:v>
      </x:c>
      <x:c r="T12" s="65" t="n">
        <x:v>0.4611111111111111</x:v>
      </x:c>
      <x:c r="U12" s="65" t="n">
        <x:v>0.43399518518518526</x:v>
      </x:c>
      <x:c r="V12" s="65" t="n">
        <x:v>0.43399518518518526</x:v>
      </x:c>
      <x:c r="W12" s="65" t="n">
        <x:v>0.43399518518518526</x:v>
      </x:c>
      <x:c r="X12" s="65" t="n">
        <x:v>0.428572</x:v>
      </x:c>
      <x:c r="Y12" s="65" t="n">
        <x:v>0.428572</x:v>
      </x:c>
      <x:c r="Z12" s="65" t="n">
        <x:v>0.428572</x:v>
      </x:c>
      <x:c r="AA12" s="65" t="str">
        <x:v>True</x:v>
      </x:c>
      <x:c r="AB12" s="65" t="str">
        <x:v>True</x:v>
      </x:c>
      <x:c r="AC12" s="65" t="str">
        <x:v>True</x:v>
      </x:c>
      <x:c r="AD12" s="65" t="str">
        <x:v>True</x:v>
      </x:c>
      <x:c r="AE12" s="65" t="n">
        <x:v>0.4277777777777778</x:v>
      </x:c>
      <x:c r="AF12" s="63" t="str">
        <x:v>M</x:v>
      </x:c>
      <x:c r="AG12" s="63" t="n">
        <x:v>36</x:v>
      </x:c>
      <x:c r="AH12" s="63" t="n">
        <x:v>22</x:v>
      </x:c>
      <x:c r="AI12" s="63" t="n">
        <x:v>51</x:v>
      </x:c>
      <x:c r="AJ12" s="63" t="n">
        <x:v>22</x:v>
      </x:c>
      <x:c r="AK12" s="63" t="n">
        <x:v>51</x:v>
      </x:c>
      <x:c r="AL12" s="63" t="str"/>
      <x:c r="AM12" s="63" t="str"/>
      <x:c r="AN12" s="63" t="str"/>
      <x:c r="AO12" s="63" t="str"/>
      <x:c r="AP12" s="63" t="str"/>
      <x:c r="AQ12" s="63" t="str"/>
      <x:c r="AR12" s="63" t="n">
        <x:v>2</x:v>
      </x:c>
      <x:c r="AS12" s="63" t="n">
        <x:v>2</x:v>
      </x:c>
      <x:c r="AT12" s="63" t="n">
        <x:v>1</x:v>
      </x:c>
      <x:c r="AU12" s="63" t="n">
        <x:v>1</x:v>
      </x:c>
      <x:c r="AV12" s="63" t="n">
        <x:v>2</x:v>
      </x:c>
      <x:c r="AW12" s="63" t="n">
        <x:v>2</x:v>
      </x:c>
      <x:c r="AX12" s="63" t="n">
        <x:v>5</x:v>
      </x:c>
      <x:c r="AY12" s="63" t="n">
        <x:v>6</x:v>
      </x:c>
      <x:c r="AZ12" s="63" t="n">
        <x:v>35</x:v>
      </x:c>
      <x:c r="BA12" s="63" t="n">
        <x:v>40</x:v>
      </x:c>
      <x:c r="BB12" s="63" t="n">
        <x:v>10</x:v>
      </x:c>
      <x:c r="BC12" s="63" t="n">
        <x:v>10</x:v>
      </x:c>
      <x:c r="BD12" s="64" t="str">
        <x:v>No MUST requirements are specified.</x:v>
      </x:c>
      <x:c r="BE12" s="64" t="str">
        <x:v>All 5 SHOULD requirements are covered; examples: Cloud, Web, Docker, C, Java. COULD coverage 50/56; gaps: Extended Reality, EasyOCR, Maven, RabbitMQ, Tesseract, plus others.</x:v>
      </x:c>
      <x:c r="BF12" s="64" t="str">
        <x:v>22/36 pairings have graph edges; strongest examples: Dev_205-Dev_250 (w=1, N=4), Dev_205-Dev_349 (w=1, N=4).</x:v>
      </x:c>
      <x:c r="BG12" s="64" t="str">
        <x:v>No MUST/SHOULD gap; remaining COULD gaps: Extended Reality, EasyOCR, Maven, RabbitMQ, plus others; 14/36 pairings lack graph history.</x:v>
      </x:c>
      <x:c r="BH12" s="64" t="str">
        <x:v>[{"developer_id": 205, "reason": "SHOULD: Cloud, Web, Docker; COULD: .NET, ASP.NET Core; graph history with 6/8 teammates."}, {"developer_id": 250, "reason": "SHOULD: Cloud, Web, Docker; COULD: PLC, Artificial Intelligence; graph history with 6/8 teammates."}, {"developer_id": 154, "reason": "SHOULD: Cloud, Web, Docker; COULD: Artificial Intelligence, Hardware; graph history with 6/8 teammates."}, {"developer_id": 349, "reason": "SHOULD: C; COULD: Artificial Intelligence, Embedded Systems; graph history with 6/8 teammates."}, {"developer_id": 716, "reason": "SHOULD: Cloud, Docker, C; COULD: G-code, Klipper; graph history with 1/8 teammates."}, {"developer_id": 398, "reason": "SHOULD: Cloud, Docker, C; COULD: Artificial Intelligence, Hardware; graph history with 6/8 teammates."}, {"developer_id": 202, "reason": "SHOULD: Cloud, Web, Docker; COULD: Hardware, AWS; graph history with 6/8 teammates."}, {"developer_id": 536, "reason": "SHOULD: Cloud, Web, Docker; COULD: FastAPI, OpenCV; graph history with 1/8 teammates."}, {"developer_id": 143, "reason": "SHOULD: C; COULD: C++; graph history with 6/8 teammates."}]</x:v>
      </x:c>
      <x:c r="BI12" s="64" t="n">
        <x:v>0.000708</x:v>
      </x:c>
      <x:c r="BJ12" s="63" t="str">
        <x:v>2026-08-27T15:51:44</x:v>
      </x:c>
      <x:c r="BK12" s="40"/>
    </x:row>
    <x:row r="13" ht="68" customHeight="1">
      <x:c r="A13" s="63" t="str">
        <x:v>GPT-5.6 Sol High</x:v>
      </x:c>
      <x:c r="B13" s="63" t="str">
        <x:v>response_1</x:v>
      </x:c>
      <x:c r="C13" s="63" t="n">
        <x:v>1</x:v>
      </x:c>
      <x:c r="D13" s="64" t="str">
        <x:v>C:\projetos\STFP\Experimento_LLM_NOVO_SEM_VAZAMENTO_DIRETO\response_1_11m_36s_GPT5.6Sol_High.txt</x:v>
      </x:c>
      <x:c r="E13" s="63" t="n">
        <x:v>696</x:v>
      </x:c>
      <x:c r="F13" s="63" t="n">
        <x:v>43.5</x:v>
      </x:c>
      <x:c r="G13" s="63" t="str">
        <x:v>True</x:v>
      </x:c>
      <x:c r="H13" s="63" t="str">
        <x:v>P12</x:v>
      </x:c>
      <x:c r="I13" s="63" t="str">
        <x:v>P12</x:v>
      </x:c>
      <x:c r="J13" s="63" t="str">
        <x:v>AE_FULL_SURROGATE</x:v>
      </x:c>
      <x:c r="K13" s="63" t="str">
        <x:v>OK</x:v>
      </x:c>
      <x:c r="L13" s="63" t="n">
        <x:v>4</x:v>
      </x:c>
      <x:c r="M13" s="63" t="n">
        <x:v>4</x:v>
      </x:c>
      <x:c r="N13" s="63" t="str">
        <x:v>True</x:v>
      </x:c>
      <x:c r="O13" s="64" t="str">
        <x:v>[335, 458, 370, 438]</x:v>
      </x:c>
      <x:c r="P13" s="64" t="str">
        <x:v>335,458,370,438</x:v>
      </x:c>
      <x:c r="Q13" s="64" t="str">
        <x:v>[]</x:v>
      </x:c>
      <x:c r="R13" s="64" t="str">
        <x:v>[]</x:v>
      </x:c>
      <x:c r="S13" s="65" t="n">
        <x:v>0.42857200000000006</x:v>
      </x:c>
      <x:c r="T13" s="65" t="n">
        <x:v>0.5666666666666667</x:v>
      </x:c>
      <x:c r="U13" s="65" t="n">
        <x:v>0.45158777777777787</x:v>
      </x:c>
      <x:c r="V13" s="65" t="n">
        <x:v>0.45158777777777787</x:v>
      </x:c>
      <x:c r="W13" s="65" t="n">
        <x:v>0.45158777777777787</x:v>
      </x:c>
      <x:c r="X13" s="65" t="n">
        <x:v>0.428572</x:v>
      </x:c>
      <x:c r="Y13" s="65" t="n">
        <x:v>0.428572</x:v>
      </x:c>
      <x:c r="Z13" s="65" t="n">
        <x:v>0.428572</x:v>
      </x:c>
      <x:c r="AA13" s="65" t="str">
        <x:v>True</x:v>
      </x:c>
      <x:c r="AB13" s="65" t="str">
        <x:v>True</x:v>
      </x:c>
      <x:c r="AC13" s="65" t="str">
        <x:v>True</x:v>
      </x:c>
      <x:c r="AD13" s="65" t="str">
        <x:v>True</x:v>
      </x:c>
      <x:c r="AE13" s="65" t="n">
        <x:v>0.5333333333333334</x:v>
      </x:c>
      <x:c r="AF13" s="63" t="str">
        <x:v>M</x:v>
      </x:c>
      <x:c r="AG13" s="63" t="n">
        <x:v>6</x:v>
      </x:c>
      <x:c r="AH13" s="63" t="n">
        <x:v>5</x:v>
      </x:c>
      <x:c r="AI13" s="63" t="n">
        <x:v>14</x:v>
      </x:c>
      <x:c r="AJ13" s="63" t="n">
        <x:v>5</x:v>
      </x:c>
      <x:c r="AK13" s="63" t="n">
        <x:v>14</x:v>
      </x:c>
      <x:c r="AL13" s="63" t="str"/>
      <x:c r="AM13" s="63" t="str"/>
      <x:c r="AN13" s="63" t="str"/>
      <x:c r="AO13" s="63" t="str"/>
      <x:c r="AP13" s="63" t="str"/>
      <x:c r="AQ13" s="63" t="str"/>
      <x:c r="AR13" s="63" t="n">
        <x:v>2</x:v>
      </x:c>
      <x:c r="AS13" s="63" t="n">
        <x:v>2</x:v>
      </x:c>
      <x:c r="AT13" s="63" t="n">
        <x:v>3</x:v>
      </x:c>
      <x:c r="AU13" s="63" t="n">
        <x:v>3</x:v>
      </x:c>
      <x:c r="AV13" s="63" t="n">
        <x:v>4</x:v>
      </x:c>
      <x:c r="AW13" s="63" t="n">
        <x:v>4</x:v>
      </x:c>
      <x:c r="AX13" s="63" t="n">
        <x:v>3</x:v>
      </x:c>
      <x:c r="AY13" s="63" t="n">
        <x:v>3</x:v>
      </x:c>
      <x:c r="AZ13" s="63" t="n">
        <x:v>17</x:v>
      </x:c>
      <x:c r="BA13" s="63" t="n">
        <x:v>20</x:v>
      </x:c>
      <x:c r="BB13" s="63" t="n">
        <x:v>5</x:v>
      </x:c>
      <x:c r="BC13" s="63" t="n">
        <x:v>5</x:v>
      </x:c>
      <x:c r="BD13" s="64" t="str">
        <x:v>No MUST requirements are specified.</x:v>
      </x:c>
      <x:c r="BE13" s="64" t="str">
        <x:v>All 9 SHOULD requirements are covered; examples: Cloud, Embedded Systems, Docker, Unity, Bash, C. COULD coverage 25/28; gaps: G-code, Klipper, Moonraker.</x:v>
      </x:c>
      <x:c r="BF13" s="64" t="str">
        <x:v>5/6 pairings have graph edges; strongest examples: Dev_335-Dev_458 (w=0.9, N=5), Dev_335-Dev_438 (w=0.75, N=3).</x:v>
      </x:c>
      <x:c r="BG13" s="64" t="str">
        <x:v>No MUST/SHOULD gap; remaining COULD gaps: G-code, Klipper, Moonraker; 1/6 pairings lack graph history.</x:v>
      </x:c>
      <x:c r="BH13" s="64" t="str">
        <x:v>[{"developer_id": 335, "reason": "SHOULD: Unity, iOS, Bash; COULD: Extended Reality, LLaMA; graph history with 3/3 teammates."}, {"developer_id": 458, "reason": "SHOULD: Docker, C, Python; COULD: IoT, Web; graph history with 3/3 teammates."}, {"developer_id": 370, "reason": "SHOULD: Cloud, Embedded Systems, Docker; COULD: GPIO, STM32; graph history with 2/3 teammates."}, {"developer_id": 438, "reason": "SHOULD: Cloud, Docker, C; COULD: Raspberry Pi, Web; graph history with 2/3 teammates."}]</x:v>
      </x:c>
      <x:c r="BI13" s="64" t="n">
        <x:v>0.00051</x:v>
      </x:c>
      <x:c r="BJ13" s="63" t="str">
        <x:v>2026-08-27T15:51:44</x:v>
      </x:c>
      <x:c r="BK13" s="40"/>
    </x:row>
    <x:row r="14" ht="68" customHeight="1">
      <x:c r="A14" s="63" t="str">
        <x:v>GPT-5.6 Sol High</x:v>
      </x:c>
      <x:c r="B14" s="63" t="str">
        <x:v>response_1</x:v>
      </x:c>
      <x:c r="C14" s="63" t="n">
        <x:v>1</x:v>
      </x:c>
      <x:c r="D14" s="64" t="str">
        <x:v>C:\projetos\STFP\Experimento_LLM_NOVO_SEM_VAZAMENTO_DIRETO\response_1_11m_36s_GPT5.6Sol_High.txt</x:v>
      </x:c>
      <x:c r="E14" s="63" t="n">
        <x:v>696</x:v>
      </x:c>
      <x:c r="F14" s="63" t="n">
        <x:v>43.5</x:v>
      </x:c>
      <x:c r="G14" s="63" t="str">
        <x:v>True</x:v>
      </x:c>
      <x:c r="H14" s="63" t="str">
        <x:v>P13</x:v>
      </x:c>
      <x:c r="I14" s="63" t="str">
        <x:v>P13</x:v>
      </x:c>
      <x:c r="J14" s="63" t="str">
        <x:v>AE_FULL_SURROGATE</x:v>
      </x:c>
      <x:c r="K14" s="63" t="str">
        <x:v>OK</x:v>
      </x:c>
      <x:c r="L14" s="63" t="n">
        <x:v>4</x:v>
      </x:c>
      <x:c r="M14" s="63" t="n">
        <x:v>4</x:v>
      </x:c>
      <x:c r="N14" s="63" t="str">
        <x:v>True</x:v>
      </x:c>
      <x:c r="O14" s="64" t="str">
        <x:v>[142, 688, 81, 370]</x:v>
      </x:c>
      <x:c r="P14" s="64" t="str">
        <x:v>142,688,81,370</x:v>
      </x:c>
      <x:c r="Q14" s="64" t="str">
        <x:v>[]</x:v>
      </x:c>
      <x:c r="R14" s="64" t="str">
        <x:v>[]</x:v>
      </x:c>
      <x:c r="S14" s="65" t="n">
        <x:v>0.6904765</x:v>
      </x:c>
      <x:c r="T14" s="65" t="n">
        <x:v>0.5</x:v>
      </x:c>
      <x:c r="U14" s="65" t="n">
        <x:v>0.5317460833333333</x:v>
      </x:c>
      <x:c r="V14" s="65" t="n">
        <x:v>0.5317460833333333</x:v>
      </x:c>
      <x:c r="W14" s="65" t="n">
        <x:v>0.5317460833333333</x:v>
      </x:c>
      <x:c r="X14" s="65" t="n">
        <x:v>0.857143</x:v>
      </x:c>
      <x:c r="Y14" s="65" t="n">
        <x:v>0.428572</x:v>
      </x:c>
      <x:c r="Z14" s="65" t="n">
        <x:v>0.6428575</x:v>
      </x:c>
      <x:c r="AA14" s="65" t="str">
        <x:v>True</x:v>
      </x:c>
      <x:c r="AB14" s="65" t="str">
        <x:v>True</x:v>
      </x:c>
      <x:c r="AC14" s="65" t="str">
        <x:v>True</x:v>
      </x:c>
      <x:c r="AD14" s="65" t="str">
        <x:v>True</x:v>
      </x:c>
      <x:c r="AE14" s="65" t="n">
        <x:v>0.43333333333333346</x:v>
      </x:c>
      <x:c r="AF14" s="63" t="str">
        <x:v>M</x:v>
      </x:c>
      <x:c r="AG14" s="63" t="n">
        <x:v>6</x:v>
      </x:c>
      <x:c r="AH14" s="63" t="n">
        <x:v>5</x:v>
      </x:c>
      <x:c r="AI14" s="63" t="n">
        <x:v>12</x:v>
      </x:c>
      <x:c r="AJ14" s="63" t="n">
        <x:v>5</x:v>
      </x:c>
      <x:c r="AK14" s="63" t="n">
        <x:v>12</x:v>
      </x:c>
      <x:c r="AL14" s="63" t="n">
        <x:v>1</x:v>
      </x:c>
      <x:c r="AM14" s="63" t="n">
        <x:v>1</x:v>
      </x:c>
      <x:c r="AN14" s="63" t="n">
        <x:v>1</x:v>
      </x:c>
      <x:c r="AO14" s="63" t="n">
        <x:v>1</x:v>
      </x:c>
      <x:c r="AP14" s="63" t="n">
        <x:v>2</x:v>
      </x:c>
      <x:c r="AQ14" s="63" t="n">
        <x:v>2</x:v>
      </x:c>
      <x:c r="AR14" s="63" t="n">
        <x:v>1</x:v>
      </x:c>
      <x:c r="AS14" s="63" t="n">
        <x:v>1</x:v>
      </x:c>
      <x:c r="AT14" s="63" t="n">
        <x:v>1</x:v>
      </x:c>
      <x:c r="AU14" s="63" t="n">
        <x:v>1</x:v>
      </x:c>
      <x:c r="AV14" s="63" t="n">
        <x:v>1</x:v>
      </x:c>
      <x:c r="AW14" s="63" t="n">
        <x:v>1</x:v>
      </x:c>
      <x:c r="AX14" s="63" t="str"/>
      <x:c r="AY14" s="63" t="str"/>
      <x:c r="AZ14" s="63" t="n">
        <x:v>3</x:v>
      </x:c>
      <x:c r="BA14" s="63" t="n">
        <x:v>4</x:v>
      </x:c>
      <x:c r="BB14" s="63" t="n">
        <x:v>4</x:v>
      </x:c>
      <x:c r="BC14" s="63" t="n">
        <x:v>4</x:v>
      </x:c>
      <x:c r="BD14" s="64" t="str">
        <x:v>Complete MUST coverage. Hardware: Dev_81, Dev_370; NumPy: Dev_688; C: Dev_142, Dev_688, Dev_81, and others; Python: Dev_688.</x:v>
      </x:c>
      <x:c r="BE14" s="64" t="str">
        <x:v>All 3 SHOULD requirements are covered; examples: Web, Linux, C++. COULD coverage 7/8; gaps: PyTorch.</x:v>
      </x:c>
      <x:c r="BF14" s="64" t="str">
        <x:v>5/6 pairings have graph edges; strongest examples: Dev_81-Dev_370 (w=0.9, N=5), Dev_142-Dev_81 (w=0.75, N=3).</x:v>
      </x:c>
      <x:c r="BG14" s="64" t="str">
        <x:v>NumPy and Python MUST coverage depends on Dev_688; PyTorch is the only uncovered COULD item.</x:v>
      </x:c>
      <x:c r="BH14" s="64" t="str">
        <x:v>[{"developer_id": 142, "reason": "MUST: C; SHOULD: Web; COULD: HMI, iOS; graph history with 2/3 teammates."}, {"developer_id": 688, "reason": "MUST: NumPy, C, Python; SHOULD: Web; COULD: CSS; graph history with 3/3 teammates."}, {"developer_id": 81, "reason": "MUST: Hardware, C; SHOULD: Web, Linux; COULD: HTML, Windows; graph history with 3/3 teammates."}, {"developer_id": 370, "reason": "MUST: Hardware, C; SHOULD: C++, Web, Linux; COULD: MATLAB; graph history with 2/3 teammates."}]</x:v>
      </x:c>
      <x:c r="BI14" s="64" t="n">
        <x:v>0.000548</x:v>
      </x:c>
      <x:c r="BJ14" s="63" t="str">
        <x:v>2026-08-27T15:51:44</x:v>
      </x:c>
      <x:c r="BK14" s="40"/>
    </x:row>
    <x:row r="15" ht="68" customHeight="1">
      <x:c r="A15" s="63" t="str">
        <x:v>GPT-5.6 Sol High</x:v>
      </x:c>
      <x:c r="B15" s="63" t="str">
        <x:v>response_1</x:v>
      </x:c>
      <x:c r="C15" s="63" t="n">
        <x:v>1</x:v>
      </x:c>
      <x:c r="D15" s="64" t="str">
        <x:v>C:\projetos\STFP\Experimento_LLM_NOVO_SEM_VAZAMENTO_DIRETO\response_1_11m_36s_GPT5.6Sol_High.txt</x:v>
      </x:c>
      <x:c r="E15" s="63" t="n">
        <x:v>696</x:v>
      </x:c>
      <x:c r="F15" s="63" t="n">
        <x:v>43.5</x:v>
      </x:c>
      <x:c r="G15" s="63" t="str">
        <x:v>True</x:v>
      </x:c>
      <x:c r="H15" s="63" t="str">
        <x:v>P14</x:v>
      </x:c>
      <x:c r="I15" s="63" t="str">
        <x:v>P14</x:v>
      </x:c>
      <x:c r="J15" s="63" t="str">
        <x:v>AE_FULL_SURROGATE</x:v>
      </x:c>
      <x:c r="K15" s="63" t="str">
        <x:v>OK</x:v>
      </x:c>
      <x:c r="L15" s="63" t="n">
        <x:v>4</x:v>
      </x:c>
      <x:c r="M15" s="63" t="n">
        <x:v>4</x:v>
      </x:c>
      <x:c r="N15" s="63" t="str">
        <x:v>True</x:v>
      </x:c>
      <x:c r="O15" s="64" t="str">
        <x:v>[250, 205, 398, 468]</x:v>
      </x:c>
      <x:c r="P15" s="64" t="str">
        <x:v>250,205,398,468</x:v>
      </x:c>
      <x:c r="Q15" s="64" t="str">
        <x:v>[]</x:v>
      </x:c>
      <x:c r="R15" s="64" t="str">
        <x:v>[]</x:v>
      </x:c>
      <x:c r="S15" s="65" t="n">
        <x:v>0.9047620000000001</x:v>
      </x:c>
      <x:c r="T15" s="65" t="n">
        <x:v>0.5666666666666667</x:v>
      </x:c>
      <x:c r="U15" s="65" t="n">
        <x:v>0.6230158888888888</x:v>
      </x:c>
      <x:c r="V15" s="65" t="n">
        <x:v>0.6230158888888888</x:v>
      </x:c>
      <x:c r="W15" s="65" t="n">
        <x:v>0.6230158888888888</x:v>
      </x:c>
      <x:c r="X15" s="65" t="n">
        <x:v>1</x:v>
      </x:c>
      <x:c r="Y15" s="65" t="n">
        <x:v>0.857143</x:v>
      </x:c>
      <x:c r="Z15" s="65" t="n">
        <x:v>0.857143</x:v>
      </x:c>
      <x:c r="AA15" s="65" t="str">
        <x:v>True</x:v>
      </x:c>
      <x:c r="AB15" s="65" t="str">
        <x:v>True</x:v>
      </x:c>
      <x:c r="AC15" s="65" t="str">
        <x:v>True</x:v>
      </x:c>
      <x:c r="AD15" s="65" t="str">
        <x:v>True</x:v>
      </x:c>
      <x:c r="AE15" s="65" t="n">
        <x:v>0.5666666666666667</x:v>
      </x:c>
      <x:c r="AF15" s="63" t="str">
        <x:v>M</x:v>
      </x:c>
      <x:c r="AG15" s="63" t="n">
        <x:v>6</x:v>
      </x:c>
      <x:c r="AH15" s="63" t="n">
        <x:v>4</x:v>
      </x:c>
      <x:c r="AI15" s="63" t="n">
        <x:v>12</x:v>
      </x:c>
      <x:c r="AJ15" s="63" t="n">
        <x:v>4</x:v>
      </x:c>
      <x:c r="AK15" s="63" t="n">
        <x:v>12</x:v>
      </x:c>
      <x:c r="AL15" s="63" t="n">
        <x:v>1</x:v>
      </x:c>
      <x:c r="AM15" s="63" t="n">
        <x:v>1</x:v>
      </x:c>
      <x:c r="AN15" s="63" t="n">
        <x:v>2</x:v>
      </x:c>
      <x:c r="AO15" s="63" t="n">
        <x:v>2</x:v>
      </x:c>
      <x:c r="AP15" s="63" t="n">
        <x:v>1</x:v>
      </x:c>
      <x:c r="AQ15" s="63" t="n">
        <x:v>1</x:v>
      </x:c>
      <x:c r="AR15" s="63" t="str"/>
      <x:c r="AS15" s="63" t="str"/>
      <x:c r="AT15" s="63" t="n">
        <x:v>2</x:v>
      </x:c>
      <x:c r="AU15" s="63" t="n">
        <x:v>2</x:v>
      </x:c>
      <x:c r="AV15" s="63" t="n">
        <x:v>2</x:v>
      </x:c>
      <x:c r="AW15" s="63" t="n">
        <x:v>2</x:v>
      </x:c>
      <x:c r="AX15" s="63" t="n">
        <x:v>3</x:v>
      </x:c>
      <x:c r="AY15" s="63" t="n">
        <x:v>3</x:v>
      </x:c>
      <x:c r="AZ15" s="63" t="n">
        <x:v>28</x:v>
      </x:c>
      <x:c r="BA15" s="63" t="n">
        <x:v>36</x:v>
      </x:c>
      <x:c r="BB15" s="63" t="n">
        <x:v>4</x:v>
      </x:c>
      <x:c r="BC15" s="63" t="n">
        <x:v>6</x:v>
      </x:c>
      <x:c r="BD15" s="64" t="str">
        <x:v>Complete MUST coverage. Web: Dev_250, Dev_205, Dev_468; Angular: Dev_250, Dev_205, Dev_398, and others; Progressive Web App (PWA): Dev_250, Dev_205, Dev_468; CSS: Dev_250, Dev_468.</x:v>
      </x:c>
      <x:c r="BE15" s="64" t="str">
        <x:v>All 4 SHOULD requirements are covered; examples: Docker, Flask, Java, JavaScript. COULD coverage 35/45; gaps: Google Maps, Ionic, Leaflet, MQTT, Next.js, plus others.</x:v>
      </x:c>
      <x:c r="BF15" s="64" t="str">
        <x:v>4/6 pairings have graph edges; strongest examples: Dev_250-Dev_205 (w=1, N=4), Dev_398-Dev_468 (w=1, N=4).</x:v>
      </x:c>
      <x:c r="BG15" s="64" t="str">
        <x:v>No MUST/SHOULD gap; remaining COULD gaps: Google Maps, Ionic, Leaflet, MQTT, plus others; 2/6 pairings lack graph history.</x:v>
      </x:c>
      <x:c r="BH15" s="64" t="str">
        <x:v>[{"developer_id": 250, "reason": "MUST: Web, Angular, Progressive Web App (PWA), CSS; SHOULD: Docker, Flask, Java; COULD: MySQL, NestJS; graph history with 2/3 teammates."}, {"developer_id": 205, "reason": "MUST: Web, Angular, Progressive Web App (PWA); SHOULD: Docker, Java, JavaScript; COULD: Android, iOS; graph history with 2/3 teammates."}, {"developer_id": 398, "reason": "MUST: Angular; SHOULD: Docker, Java, JavaScript; COULD: Spring Boot, Artificial Intelligence; graph history with 3/3 teammates."}, {"developer_id": 468, "reason": "MUST: Web, Angular, Progressive Web App (PWA), CSS; SHOULD: Docker, Flask; COULD: EJS, GenieACS; graph history with 1/3 teammates."}]</x:v>
      </x:c>
      <x:c r="BI15" s="64" t="n">
        <x:v>0.000639</x:v>
      </x:c>
      <x:c r="BJ15" s="63" t="str">
        <x:v>2026-08-27T15:51:44</x:v>
      </x:c>
      <x:c r="BK15" s="40"/>
    </x:row>
    <x:row r="16" ht="68" customHeight="1">
      <x:c r="A16" s="63" t="str">
        <x:v>GPT-5.6 Sol High</x:v>
      </x:c>
      <x:c r="B16" s="63" t="str">
        <x:v>response_1</x:v>
      </x:c>
      <x:c r="C16" s="63" t="n">
        <x:v>1</x:v>
      </x:c>
      <x:c r="D16" s="64" t="str">
        <x:v>C:\projetos\STFP\Experimento_LLM_NOVO_SEM_VAZAMENTO_DIRETO\response_1_11m_36s_GPT5.6Sol_High.txt</x:v>
      </x:c>
      <x:c r="E16" s="63" t="n">
        <x:v>696</x:v>
      </x:c>
      <x:c r="F16" s="63" t="n">
        <x:v>43.5</x:v>
      </x:c>
      <x:c r="G16" s="63" t="str">
        <x:v>True</x:v>
      </x:c>
      <x:c r="H16" s="63" t="str">
        <x:v>P15</x:v>
      </x:c>
      <x:c r="I16" s="63" t="str">
        <x:v>P15</x:v>
      </x:c>
      <x:c r="J16" s="63" t="str">
        <x:v>AE_FULL_SURROGATE</x:v>
      </x:c>
      <x:c r="K16" s="63" t="str">
        <x:v>OK</x:v>
      </x:c>
      <x:c r="L16" s="63" t="n">
        <x:v>5</x:v>
      </x:c>
      <x:c r="M16" s="63" t="n">
        <x:v>5</x:v>
      </x:c>
      <x:c r="N16" s="63" t="str">
        <x:v>True</x:v>
      </x:c>
      <x:c r="O16" s="64" t="str">
        <x:v>[582, 398, 27, 608, 500]</x:v>
      </x:c>
      <x:c r="P16" s="64" t="str">
        <x:v>582,398,27,608,500</x:v>
      </x:c>
      <x:c r="Q16" s="64" t="str">
        <x:v>[]</x:v>
      </x:c>
      <x:c r="R16" s="64" t="str">
        <x:v>[]</x:v>
      </x:c>
      <x:c r="S16" s="65" t="n">
        <x:v>0.42857200000000006</x:v>
      </x:c>
      <x:c r="T16" s="65" t="n">
        <x:v>0.4</x:v>
      </x:c>
      <x:c r="U16" s="65" t="n">
        <x:v>0.404762</x:v>
      </x:c>
      <x:c r="V16" s="65" t="n">
        <x:v>0.404762</x:v>
      </x:c>
      <x:c r="W16" s="65" t="n">
        <x:v>0.404762</x:v>
      </x:c>
      <x:c r="X16" s="65" t="n">
        <x:v>0.428572</x:v>
      </x:c>
      <x:c r="Y16" s="65" t="n">
        <x:v>0.428572</x:v>
      </x:c>
      <x:c r="Z16" s="65" t="n">
        <x:v>0.428572</x:v>
      </x:c>
      <x:c r="AA16" s="65" t="str">
        <x:v>True</x:v>
      </x:c>
      <x:c r="AB16" s="65" t="str">
        <x:v>True</x:v>
      </x:c>
      <x:c r="AC16" s="65" t="str">
        <x:v>True</x:v>
      </x:c>
      <x:c r="AD16" s="65" t="str">
        <x:v>True</x:v>
      </x:c>
      <x:c r="AE16" s="65" t="n">
        <x:v>0.28</x:v>
      </x:c>
      <x:c r="AF16" s="63" t="str">
        <x:v>L</x:v>
      </x:c>
      <x:c r="AG16" s="63" t="n">
        <x:v>10</x:v>
      </x:c>
      <x:c r="AH16" s="63" t="n">
        <x:v>7</x:v>
      </x:c>
      <x:c r="AI16" s="63" t="n">
        <x:v>13</x:v>
      </x:c>
      <x:c r="AJ16" s="63" t="n">
        <x:v>7</x:v>
      </x:c>
      <x:c r="AK16" s="63" t="n">
        <x:v>13</x:v>
      </x:c>
      <x:c r="AL16" s="63" t="str"/>
      <x:c r="AM16" s="63" t="str"/>
      <x:c r="AN16" s="63" t="str"/>
      <x:c r="AO16" s="63" t="str"/>
      <x:c r="AP16" s="63" t="str"/>
      <x:c r="AQ16" s="63" t="str"/>
      <x:c r="AR16" s="63" t="n">
        <x:v>6</x:v>
      </x:c>
      <x:c r="AS16" s="63" t="n">
        <x:v>6</x:v>
      </x:c>
      <x:c r="AT16" s="63" t="n">
        <x:v>10</x:v>
      </x:c>
      <x:c r="AU16" s="63" t="n">
        <x:v>10</x:v>
      </x:c>
      <x:c r="AV16" s="63" t="n">
        <x:v>7</x:v>
      </x:c>
      <x:c r="AW16" s="63" t="n">
        <x:v>7</x:v>
      </x:c>
      <x:c r="AX16" s="63" t="n">
        <x:v>1</x:v>
      </x:c>
      <x:c r="AY16" s="63" t="n">
        <x:v>1</x:v>
      </x:c>
      <x:c r="AZ16" s="63" t="n">
        <x:v>25</x:v>
      </x:c>
      <x:c r="BA16" s="63" t="n">
        <x:v>25</x:v>
      </x:c>
      <x:c r="BB16" s="63" t="n">
        <x:v>5</x:v>
      </x:c>
      <x:c r="BC16" s="63" t="n">
        <x:v>5</x:v>
      </x:c>
      <x:c r="BD16" s="64" t="str">
        <x:v>No MUST requirements are specified.</x:v>
      </x:c>
      <x:c r="BE16" s="64" t="str">
        <x:v>All 23 SHOULD requirements are covered; examples: Artificial Intelligence, Cloud, AWS, Android, HTML, Java. All 31 COULD requirements are covered.</x:v>
      </x:c>
      <x:c r="BF16" s="64" t="str">
        <x:v>8/10 pairings have graph edges; strongest examples: Dev_582-Dev_27 (w=0.75, N=3), Dev_398-Dev_27 (w=0.75, N=3).</x:v>
      </x:c>
      <x:c r="BG16" s="64" t="str">
        <x:v>No technical coverage gap; 2/10 pairings lack recorded graph history.</x:v>
      </x:c>
      <x:c r="BH16" s="64" t="str">
        <x:v>[{"developer_id": 582, "reason": "SHOULD: MongoDB, TypeScript, Artificial Intelligence; COULD: Epson SDK, Firebase; graph history with 3/4 teammates."}, {"developer_id": 398, "reason": "SHOULD: Artificial Intelligence, Cloud, Hardware; COULD: LLaMA, LangChain; graph history with 2/4 teammates."}, {"developer_id": 27, "reason": "SHOULD: Web, Python; COULD: Mobile; graph history with 4/4 teammates."}, {"developer_id": 608, "reason": "SHOULD: IoT, SCADA, Web; COULD: EJS, HTTP; graph history with 3/4 teammates."}, {"developer_id": 500, "reason": "SHOULD: Artificial Intelligence, Web, AWS; COULD: Mobile, ThingsBoard; graph history with 4/4 teammates."}]</x:v>
      </x:c>
      <x:c r="BI16" s="64" t="n">
        <x:v>0.000505</x:v>
      </x:c>
      <x:c r="BJ16" s="63" t="str">
        <x:v>2026-08-27T15:51:44</x:v>
      </x:c>
      <x:c r="BK16" s="40"/>
    </x:row>
    <x:row r="17" ht="68" customHeight="1">
      <x:c r="A17" s="66" t="str">
        <x:v>GPT-5.6 Sol High</x:v>
      </x:c>
      <x:c r="B17" s="66" t="str">
        <x:v>response_1</x:v>
      </x:c>
      <x:c r="C17" s="66" t="n">
        <x:v>1</x:v>
      </x:c>
      <x:c r="D17" s="67" t="str">
        <x:v>C:\projetos\STFP\Experimento_LLM_NOVO_SEM_VAZAMENTO_DIRETO\response_1_11m_36s_GPT5.6Sol_High.txt</x:v>
      </x:c>
      <x:c r="E17" s="66" t="n">
        <x:v>696</x:v>
      </x:c>
      <x:c r="F17" s="66" t="n">
        <x:v>43.5</x:v>
      </x:c>
      <x:c r="G17" s="66" t="str">
        <x:v>True</x:v>
      </x:c>
      <x:c r="H17" s="66" t="str">
        <x:v>P16</x:v>
      </x:c>
      <x:c r="I17" s="66" t="str">
        <x:v>P16</x:v>
      </x:c>
      <x:c r="J17" s="66" t="str">
        <x:v>AE_FULL_SURROGATE</x:v>
      </x:c>
      <x:c r="K17" s="66" t="str">
        <x:v>OK</x:v>
      </x:c>
      <x:c r="L17" s="66" t="n">
        <x:v>9</x:v>
      </x:c>
      <x:c r="M17" s="66" t="n">
        <x:v>9</x:v>
      </x:c>
      <x:c r="N17" s="66" t="str">
        <x:v>True</x:v>
      </x:c>
      <x:c r="O17" s="67" t="str">
        <x:v>[183, 351, 679, 363, 500, 482, 509, 181, 423]</x:v>
      </x:c>
      <x:c r="P17" s="67" t="str">
        <x:v>183,351,679,363,500,482,509,181,423</x:v>
      </x:c>
      <x:c r="Q17" s="67" t="str">
        <x:v>[]</x:v>
      </x:c>
      <x:c r="R17" s="67" t="str">
        <x:v>[]</x:v>
      </x:c>
      <x:c r="S17" s="68" t="n">
        <x:v>0.42857200000000006</x:v>
      </x:c>
      <x:c r="T17" s="68" t="n">
        <x:v>0.4833333333333333</x:v>
      </x:c>
      <x:c r="U17" s="68" t="n">
        <x:v>0.4376988888888889</x:v>
      </x:c>
      <x:c r="V17" s="68" t="n">
        <x:v>0.4376988888888889</x:v>
      </x:c>
      <x:c r="W17" s="68" t="n">
        <x:v>0.4376988888888889</x:v>
      </x:c>
      <x:c r="X17" s="68" t="n">
        <x:v>0.428572</x:v>
      </x:c>
      <x:c r="Y17" s="68" t="n">
        <x:v>0.428572</x:v>
      </x:c>
      <x:c r="Z17" s="68" t="n">
        <x:v>0.428572</x:v>
      </x:c>
      <x:c r="AA17" s="68" t="str">
        <x:v>True</x:v>
      </x:c>
      <x:c r="AB17" s="68" t="str">
        <x:v>True</x:v>
      </x:c>
      <x:c r="AC17" s="68" t="str">
        <x:v>True</x:v>
      </x:c>
      <x:c r="AD17" s="68" t="str">
        <x:v>True</x:v>
      </x:c>
      <x:c r="AE17" s="68" t="n">
        <x:v>0.44444444444444453</x:v>
      </x:c>
      <x:c r="AF17" s="66" t="str">
        <x:v>M</x:v>
      </x:c>
      <x:c r="AG17" s="66" t="n">
        <x:v>36</x:v>
      </x:c>
      <x:c r="AH17" s="66" t="n">
        <x:v>28</x:v>
      </x:c>
      <x:c r="AI17" s="66" t="n">
        <x:v>67</x:v>
      </x:c>
      <x:c r="AJ17" s="66" t="n">
        <x:v>28</x:v>
      </x:c>
      <x:c r="AK17" s="66" t="n">
        <x:v>67</x:v>
      </x:c>
      <x:c r="AL17" s="66" t="str"/>
      <x:c r="AM17" s="66" t="str"/>
      <x:c r="AN17" s="66" t="str"/>
      <x:c r="AO17" s="66" t="str"/>
      <x:c r="AP17" s="66" t="str"/>
      <x:c r="AQ17" s="66" t="str"/>
      <x:c r="AR17" s="66" t="n">
        <x:v>3</x:v>
      </x:c>
      <x:c r="AS17" s="66" t="n">
        <x:v>3</x:v>
      </x:c>
      <x:c r="AT17" s="66" t="n">
        <x:v>5</x:v>
      </x:c>
      <x:c r="AU17" s="66" t="n">
        <x:v>5</x:v>
      </x:c>
      <x:c r="AV17" s="66" t="n">
        <x:v>4</x:v>
      </x:c>
      <x:c r="AW17" s="66" t="n">
        <x:v>4</x:v>
      </x:c>
      <x:c r="AX17" s="66" t="n">
        <x:v>2</x:v>
      </x:c>
      <x:c r="AY17" s="66" t="n">
        <x:v>2</x:v>
      </x:c>
      <x:c r="AZ17" s="66" t="n">
        <x:v>42</x:v>
      </x:c>
      <x:c r="BA17" s="66" t="n">
        <x:v>47</x:v>
      </x:c>
      <x:c r="BB17" s="66" t="n">
        <x:v>7</x:v>
      </x:c>
      <x:c r="BC17" s="66" t="n">
        <x:v>8</x:v>
      </x:c>
      <x:c r="BD17" s="67" t="str">
        <x:v>No MUST requirements are specified.</x:v>
      </x:c>
      <x:c r="BE17" s="67" t="str">
        <x:v>All 12 SHOULD requirements are covered; examples: Cloud, Mobile, AWS, AWS Lambda, HTML, Java. COULD coverage 51/57; gaps: HMI, Hugging Face Transformers, Ionic, Mistral, Node.js, plus others.</x:v>
      </x:c>
      <x:c r="BF17" s="67" t="str">
        <x:v>31/36 pairings have graph edges; strongest examples: Dev_183-Dev_363 (w=1, N=4), Dev_363-Dev_181 (w=1, N=4).</x:v>
      </x:c>
      <x:c r="BG17" s="67" t="str">
        <x:v>No MUST/SHOULD gap; remaining COULD gaps: HMI, Hugging Face Transformers, Ionic, Mistral, plus others; 5/36 pairings lack graph history.</x:v>
      </x:c>
      <x:c r="BH17" s="67" t="str">
        <x:v>[{"developer_id": 183, "reason": "SHOULD: Cloud, Mobile, Web; COULD: C++, Artificial Intelligence; graph history with 7/8 teammates."}, {"developer_id": 351, "reason": "SHOULD: Mobile, Web, Docker; COULD: Artificial Intelligence, .NET; graph history with 8/8 teammates."}, {"developer_id": 679, "reason": "SHOULD: Cloud, Mobile, Web; COULD: Django, Flask; graph history with 6/8 teammates."}, {"developer_id": 363, "reason": "SHOULD: Cloud, Mobile, Web; COULD: .NET, Android; graph history with 8/8 teammates."}, {"developer_id": 500, "reason": "SHOULD: Mobile, Web, AWS; COULD: Artificial Intelligence, Okta; graph history with 8/8 teammates."}, {"developer_id": 482, "reason": "SHOULD: Mobile, Web, Docker; COULD: Android, Progressive Web App (PWA); graph history with 8/8 teammates."}, {"developer_id": 509, "reason": "SHOULD: Mobile, Web, Angular; COULD: H2, JWT; graph history with 5/8 teammates."}, {"developer_id": 181, "reason": "SHOULD: Cloud, Mobile, Web; COULD: OAuth, Redis; graph history with 7/8 teammates."}, {"developer_id": 423, "reason": "SHOULD: Web, AWS, Angular; COULD: IoT, Kafka; graph history with 5/8 teammates."}]</x:v>
      </x:c>
      <x:c r="BI17" s="67" t="n">
        <x:v>0.000708</x:v>
      </x:c>
      <x:c r="BJ17" s="66" t="str">
        <x:v>2026-08-27T15:51:44</x:v>
      </x:c>
      <x:c r="BK17" s="40"/>
    </x:row>
  </x:sheetData>
  <x:pageMargins left="0.7" right="0.7" top="0.75" bottom="0.75" header="0.3" footer="0.3"/>
  <x:tableParts count="1">
    <x:tablePart xmlns:r="http://schemas.openxmlformats.org/officeDocument/2006/relationships" r:id="Raeec32ac1c574a2a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7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2" hidden="0" customWidth="1"/>
  </x:cols>
  <x:sheetData>
    <x:row r="1" ht="34" customHeight="1">
      <x:c r="A1" s="12" t="str">
        <x:v>Project</x:v>
      </x:c>
      <x:c r="B1" s="12" t="str">
        <x:v>Original Project ID</x:v>
      </x:c>
      <x:c r="C1" s="12" t="str">
        <x:v>Project Name</x:v>
      </x:c>
      <x:c r="D1" s="12" t="str">
        <x:v>Method</x:v>
      </x:c>
      <x:c r="E1" s="12" t="str">
        <x:v>Evaluation Mode</x:v>
      </x:c>
      <x:c r="F1" s="12" t="str">
        <x:v>Runs</x:v>
      </x:c>
      <x:c r="G1" s="12" t="str">
        <x:v>Valid Runs</x:v>
      </x:c>
      <x:c r="H1" s="12" t="str">
        <x:v>Valid Rate</x:v>
      </x:c>
      <x:c r="I1" s="12" t="str">
        <x:v>Best AE</x:v>
      </x:c>
      <x:c r="J1" s="12" t="str">
        <x:v>Best AT</x:v>
      </x:c>
      <x:c r="K1" s="12" t="str">
        <x:v>Best AC</x:v>
      </x:c>
      <x:c r="L1" s="12" t="str">
        <x:v>Best Team</x:v>
      </x:c>
      <x:c r="M1" s="12" t="str">
        <x:v>Best Seed</x:v>
      </x:c>
      <x:c r="N1" s="12" t="str">
        <x:v>Best Generation</x:v>
      </x:c>
      <x:c r="O1" s="12" t="str">
        <x:v>Best Runtime (s)</x:v>
      </x:c>
      <x:c r="P1" s="12" t="str">
        <x:v>Best Runtime (min)</x:v>
      </x:c>
      <x:c r="Q1" s="12" t="str">
        <x:v>Mean AE</x:v>
      </x:c>
      <x:c r="R1" s="12" t="str">
        <x:v>Median AE</x:v>
      </x:c>
      <x:c r="S1" s="12" t="str">
        <x:v>AE Standard Deviation</x:v>
      </x:c>
      <x:c r="T1" s="12" t="str">
        <x:v>Mean AT</x:v>
      </x:c>
      <x:c r="U1" s="12" t="str">
        <x:v>Mean AC</x:v>
      </x:c>
      <x:c r="V1" s="12" t="str">
        <x:v>Mean Runtime (s)</x:v>
      </x:c>
      <x:c r="W1" s="12" t="str">
        <x:v>Median Runtime (s)</x:v>
      </x:c>
      <x:c r="X1" s="12" t="str">
        <x:v>Total Runtime (s)</x:v>
      </x:c>
      <x:c r="Y1" s="12" t="str">
        <x:v>Total Runtime (min)</x:v>
      </x:c>
      <x:c r="Z1" s="12" t="str">
        <x:v>Mean Generations</x:v>
      </x:c>
      <x:c r="AA1" s="12" t="str">
        <x:v>Generations for Best Seed</x:v>
      </x:c>
      <x:c r="AB1" s="12" t="str">
        <x:v>Best-Seed Stop Reason</x:v>
      </x:c>
    </x:row>
    <x:row r="2" ht="26" customHeight="1">
      <x:c r="A2" s="60" t="str">
        <x:v>P1</x:v>
      </x:c>
      <x:c r="B2" s="60" t="str">
        <x:v>P439</x:v>
      </x:c>
      <x:c r="C2" s="60" t="str">
        <x:v>P1</x:v>
      </x:c>
      <x:c r="D2" s="60" t="str">
        <x:v>GA_CALIBRADO_CCC</x:v>
      </x:c>
      <x:c r="E2" s="60" t="str">
        <x:v>BACKTEST_HISTORICO_2025_AE_FULL_SURROGATE</x:v>
      </x:c>
      <x:c r="F2" s="60" t="n">
        <x:v>30</x:v>
      </x:c>
      <x:c r="G2" s="60" t="n">
        <x:v>30</x:v>
      </x:c>
      <x:c r="H2" s="78" t="n">
        <x:v>1</x:v>
      </x:c>
      <x:c r="I2" s="79" t="n">
        <x:v>0.61137602</x:v>
      </x:c>
      <x:c r="J2" s="79" t="n">
        <x:v>0.571429</x:v>
      </x:c>
      <x:c r="K2" s="79" t="n">
        <x:v>0.81111111</x:v>
      </x:c>
      <x:c r="L2" s="60" t="str">
        <x:v>[324, 359, 448, 305, 170, 543, 503, 578, 220]</x:v>
      </x:c>
      <x:c r="M2" s="60" t="n">
        <x:v>1</x:v>
      </x:c>
      <x:c r="N2" s="60" t="n">
        <x:v>57</x:v>
      </x:c>
      <x:c r="O2" s="80" t="n">
        <x:v>23.293987</x:v>
      </x:c>
      <x:c r="P2" s="80" t="n">
        <x:v>0.388233</x:v>
      </x:c>
      <x:c r="Q2" s="79" t="n">
        <x:v>0.6034073</x:v>
      </x:c>
      <x:c r="R2" s="79" t="n">
        <x:v>0.60396861</x:v>
      </x:c>
      <x:c r="S2" s="79" t="n">
        <x:v>0.00641303</x:v>
      </x:c>
      <x:c r="T2" s="79" t="n">
        <x:v>0.57223691</x:v>
      </x:c>
      <x:c r="U2" s="79" t="n">
        <x:v>0.75925926</x:v>
      </x:c>
      <x:c r="V2" s="80" t="n">
        <x:v>18.833194</x:v>
      </x:c>
      <x:c r="W2" s="80" t="n">
        <x:v>18.163942</x:v>
      </x:c>
      <x:c r="X2" s="80" t="n">
        <x:v>564.995833</x:v>
      </x:c>
      <x:c r="Y2" s="80" t="n">
        <x:v>9.416597</x:v>
      </x:c>
      <x:c r="Z2" s="60" t="n">
        <x:v>71.366667</x:v>
      </x:c>
      <x:c r="AA2" s="60" t="n">
        <x:v>77</x:v>
      </x:c>
      <x:c r="AB2" s="60" t="str">
        <x:v>stable_gens_no_improve</x:v>
      </x:c>
    </x:row>
    <x:row r="3" ht="26" customHeight="1">
      <x:c r="A3" s="63" t="str">
        <x:v>P10</x:v>
      </x:c>
      <x:c r="B3" s="63" t="str">
        <x:v>P454</x:v>
      </x:c>
      <x:c r="C3" s="63" t="str">
        <x:v>P10</x:v>
      </x:c>
      <x:c r="D3" s="63" t="str">
        <x:v>GA_CALIBRADO_CCC</x:v>
      </x:c>
      <x:c r="E3" s="63" t="str">
        <x:v>BACKTEST_HISTORICO_2025_AE_FULL_SURROGATE</x:v>
      </x:c>
      <x:c r="F3" s="63" t="n">
        <x:v>30</x:v>
      </x:c>
      <x:c r="G3" s="63" t="n">
        <x:v>30</x:v>
      </x:c>
      <x:c r="H3" s="81" t="n">
        <x:v>1</x:v>
      </x:c>
      <x:c r="I3" s="82" t="n">
        <x:v>0.61622129</x:v>
      </x:c>
      <x:c r="J3" s="82" t="n">
        <x:v>0.57089412</x:v>
      </x:c>
      <x:c r="K3" s="82" t="n">
        <x:v>0.84285714</x:v>
      </x:c>
      <x:c r="L3" s="63" t="str">
        <x:v>[615, 257, 477, 94, 496, 382, 492, 27]</x:v>
      </x:c>
      <x:c r="M3" s="63" t="n">
        <x:v>23</x:v>
      </x:c>
      <x:c r="N3" s="63" t="n">
        <x:v>44</x:v>
      </x:c>
      <x:c r="O3" s="83" t="n">
        <x:v>13.464218</x:v>
      </x:c>
      <x:c r="P3" s="83" t="n">
        <x:v>0.224404</x:v>
      </x:c>
      <x:c r="Q3" s="82" t="n">
        <x:v>0.60722932</x:v>
      </x:c>
      <x:c r="R3" s="82" t="n">
        <x:v>0.60960223</x:v>
      </x:c>
      <x:c r="S3" s="82" t="n">
        <x:v>0.00673713</x:v>
      </x:c>
      <x:c r="T3" s="82" t="n">
        <x:v>0.5749609</x:v>
      </x:c>
      <x:c r="U3" s="82" t="n">
        <x:v>0.76857143</x:v>
      </x:c>
      <x:c r="V3" s="83" t="n">
        <x:v>13.860594</x:v>
      </x:c>
      <x:c r="W3" s="83" t="n">
        <x:v>13.688997</x:v>
      </x:c>
      <x:c r="X3" s="83" t="n">
        <x:v>415.817826</x:v>
      </x:c>
      <x:c r="Y3" s="83" t="n">
        <x:v>6.930297</x:v>
      </x:c>
      <x:c r="Z3" s="63" t="n">
        <x:v>79.9</x:v>
      </x:c>
      <x:c r="AA3" s="63" t="n">
        <x:v>64</x:v>
      </x:c>
      <x:c r="AB3" s="63" t="str">
        <x:v>stable_gens_no_improve</x:v>
      </x:c>
    </x:row>
    <x:row r="4" ht="26" customHeight="1">
      <x:c r="A4" s="63" t="str">
        <x:v>P11</x:v>
      </x:c>
      <x:c r="B4" s="63" t="str">
        <x:v>P455</x:v>
      </x:c>
      <x:c r="C4" s="63" t="str">
        <x:v>P11</x:v>
      </x:c>
      <x:c r="D4" s="63" t="str">
        <x:v>GA_CALIBRADO_CCC</x:v>
      </x:c>
      <x:c r="E4" s="63" t="str">
        <x:v>BACKTEST_HISTORICO_2025_AE_FULL_SURROGATE</x:v>
      </x:c>
      <x:c r="F4" s="63" t="n">
        <x:v>30</x:v>
      </x:c>
      <x:c r="G4" s="63" t="n">
        <x:v>30</x:v>
      </x:c>
      <x:c r="H4" s="81" t="n">
        <x:v>1</x:v>
      </x:c>
      <x:c r="I4" s="82" t="n">
        <x:v>0.50410097</x:v>
      </x:c>
      <x:c r="J4" s="82" t="n">
        <x:v>0.4682545</x:v>
      </x:c>
      <x:c r="K4" s="82" t="n">
        <x:v>0.68333333</x:v>
      </x:c>
      <x:c r="L4" s="63" t="str">
        <x:v>[437, 583, 467, 336, 498, 458, 317, 415, 282]</x:v>
      </x:c>
      <x:c r="M4" s="63" t="n">
        <x:v>19</x:v>
      </x:c>
      <x:c r="N4" s="63" t="n">
        <x:v>92</x:v>
      </x:c>
      <x:c r="O4" s="83" t="n">
        <x:v>7.135412</x:v>
      </x:c>
      <x:c r="P4" s="83" t="n">
        <x:v>0.118924</x:v>
      </x:c>
      <x:c r="Q4" s="82" t="n">
        <x:v>0.48658556</x:v>
      </x:c>
      <x:c r="R4" s="82" t="n">
        <x:v>0.48908778</x:v>
      </x:c>
      <x:c r="S4" s="82" t="n">
        <x:v>0.01024374</x:v>
      </x:c>
      <x:c r="T4" s="82" t="n">
        <x:v>0.44001379</x:v>
      </x:c>
      <x:c r="U4" s="82" t="n">
        <x:v>0.71944444</x:v>
      </x:c>
      <x:c r="V4" s="83" t="n">
        <x:v>9.178202</x:v>
      </x:c>
      <x:c r="W4" s="83" t="n">
        <x:v>9.115284</x:v>
      </x:c>
      <x:c r="X4" s="83" t="n">
        <x:v>275.346074</x:v>
      </x:c>
      <x:c r="Y4" s="83" t="n">
        <x:v>4.589101</x:v>
      </x:c>
      <x:c r="Z4" s="63" t="n">
        <x:v>72.133333</x:v>
      </x:c>
      <x:c r="AA4" s="63" t="n">
        <x:v>112</x:v>
      </x:c>
      <x:c r="AB4" s="63" t="str">
        <x:v>stable_gens_no_improve</x:v>
      </x:c>
    </x:row>
    <x:row r="5" ht="26" customHeight="1">
      <x:c r="A5" s="63" t="str">
        <x:v>P12</x:v>
      </x:c>
      <x:c r="B5" s="63" t="str">
        <x:v>P460</x:v>
      </x:c>
      <x:c r="C5" s="63" t="str">
        <x:v>P12</x:v>
      </x:c>
      <x:c r="D5" s="63" t="str">
        <x:v>GA_CALIBRADO_CCC</x:v>
      </x:c>
      <x:c r="E5" s="63" t="str">
        <x:v>BACKTEST_HISTORICO_2025_AE_FULL_SURROGATE</x:v>
      </x:c>
      <x:c r="F5" s="63" t="n">
        <x:v>30</x:v>
      </x:c>
      <x:c r="G5" s="63" t="n">
        <x:v>30</x:v>
      </x:c>
      <x:c r="H5" s="81" t="n">
        <x:v>1</x:v>
      </x:c>
      <x:c r="I5" s="82" t="n">
        <x:v>0.5177694</x:v>
      </x:c>
      <x:c r="J5" s="82" t="n">
        <x:v>0.46798994</x:v>
      </x:c>
      <x:c r="K5" s="82" t="n">
        <x:v>0.76666667</x:v>
      </x:c>
      <x:c r="L5" s="63" t="str">
        <x:v>[398, 415, 467, 458]</x:v>
      </x:c>
      <x:c r="M5" s="63" t="n">
        <x:v>4</x:v>
      </x:c>
      <x:c r="N5" s="63" t="n">
        <x:v>56</x:v>
      </x:c>
      <x:c r="O5" s="83" t="n">
        <x:v>9.542147</x:v>
      </x:c>
      <x:c r="P5" s="83" t="n">
        <x:v>0.159036</x:v>
      </x:c>
      <x:c r="Q5" s="82" t="n">
        <x:v>0.50511949</x:v>
      </x:c>
      <x:c r="R5" s="82" t="n">
        <x:v>0.51210363</x:v>
      </x:c>
      <x:c r="S5" s="82" t="n">
        <x:v>0.01216125</x:v>
      </x:c>
      <x:c r="T5" s="82" t="n">
        <x:v>0.44769895</x:v>
      </x:c>
      <x:c r="U5" s="82" t="n">
        <x:v>0.79222222</x:v>
      </x:c>
      <x:c r="V5" s="83" t="n">
        <x:v>6.93896</x:v>
      </x:c>
      <x:c r="W5" s="83" t="n">
        <x:v>6.71412</x:v>
      </x:c>
      <x:c r="X5" s="83" t="n">
        <x:v>208.168811</x:v>
      </x:c>
      <x:c r="Y5" s="83" t="n">
        <x:v>3.46948</x:v>
      </x:c>
      <x:c r="Z5" s="63" t="n">
        <x:v>52</x:v>
      </x:c>
      <x:c r="AA5" s="63" t="n">
        <x:v>76</x:v>
      </x:c>
      <x:c r="AB5" s="63" t="str">
        <x:v>stable_gens_no_improve</x:v>
      </x:c>
    </x:row>
    <x:row r="6" ht="26" customHeight="1">
      <x:c r="A6" s="63" t="str">
        <x:v>P13</x:v>
      </x:c>
      <x:c r="B6" s="63" t="str">
        <x:v>P461</x:v>
      </x:c>
      <x:c r="C6" s="63" t="str">
        <x:v>P13</x:v>
      </x:c>
      <x:c r="D6" s="63" t="str">
        <x:v>GA_CALIBRADO_CCC</x:v>
      </x:c>
      <x:c r="E6" s="63" t="str">
        <x:v>BACKTEST_HISTORICO_2025_AE_FULL_SURROGATE</x:v>
      </x:c>
      <x:c r="F6" s="63" t="n">
        <x:v>30</x:v>
      </x:c>
      <x:c r="G6" s="63" t="n">
        <x:v>30</x:v>
      </x:c>
      <x:c r="H6" s="81" t="n">
        <x:v>1</x:v>
      </x:c>
      <x:c r="I6" s="82" t="n">
        <x:v>0.86428583</x:v>
      </x:c>
      <x:c r="J6" s="82" t="n">
        <x:v>0.857143</x:v>
      </x:c>
      <x:c r="K6" s="82" t="n">
        <x:v>0.9</x:v>
      </x:c>
      <x:c r="L6" s="63" t="str">
        <x:v>[589, 583, 498, 720]</x:v>
      </x:c>
      <x:c r="M6" s="63" t="n">
        <x:v>1</x:v>
      </x:c>
      <x:c r="N6" s="63" t="n">
        <x:v>18</x:v>
      </x:c>
      <x:c r="O6" s="83" t="n">
        <x:v>6.073002</x:v>
      </x:c>
      <x:c r="P6" s="83" t="n">
        <x:v>0.101217</x:v>
      </x:c>
      <x:c r="Q6" s="82" t="n">
        <x:v>0.86410065</x:v>
      </x:c>
      <x:c r="R6" s="82" t="n">
        <x:v>0.86428583</x:v>
      </x:c>
      <x:c r="S6" s="82" t="n">
        <x:v>0.0010143</x:v>
      </x:c>
      <x:c r="T6" s="82" t="n">
        <x:v>0.857143</x:v>
      </x:c>
      <x:c r="U6" s="82" t="n">
        <x:v>0.89888889</x:v>
      </x:c>
      <x:c r="V6" s="83" t="n">
        <x:v>5.349561</x:v>
      </x:c>
      <x:c r="W6" s="83" t="n">
        <x:v>5.393035</x:v>
      </x:c>
      <x:c r="X6" s="83" t="n">
        <x:v>160.486821</x:v>
      </x:c>
      <x:c r="Y6" s="83" t="n">
        <x:v>2.67478</x:v>
      </x:c>
      <x:c r="Z6" s="63" t="n">
        <x:v>38</x:v>
      </x:c>
      <x:c r="AA6" s="63" t="n">
        <x:v>38</x:v>
      </x:c>
      <x:c r="AB6" s="63" t="str">
        <x:v>stable_gens_no_improve</x:v>
      </x:c>
    </x:row>
    <x:row r="7" ht="26" customHeight="1">
      <x:c r="A7" s="63" t="str">
        <x:v>P14</x:v>
      </x:c>
      <x:c r="B7" s="63" t="str">
        <x:v>P462</x:v>
      </x:c>
      <x:c r="C7" s="63" t="str">
        <x:v>P14</x:v>
      </x:c>
      <x:c r="D7" s="63" t="str">
        <x:v>GA_CALIBRADO_CCC</x:v>
      </x:c>
      <x:c r="E7" s="63" t="str">
        <x:v>BACKTEST_HISTORICO_2025_AE_FULL_SURROGATE</x:v>
      </x:c>
      <x:c r="F7" s="63" t="n">
        <x:v>30</x:v>
      </x:c>
      <x:c r="G7" s="63" t="n">
        <x:v>30</x:v>
      </x:c>
      <x:c r="H7" s="81" t="n">
        <x:v>1</x:v>
      </x:c>
      <x:c r="I7" s="82" t="n">
        <x:v>0.90079367</x:v>
      </x:c>
      <x:c r="J7" s="82" t="n">
        <x:v>0.904762</x:v>
      </x:c>
      <x:c r="K7" s="82" t="n">
        <x:v>0.9</x:v>
      </x:c>
      <x:c r="L7" s="63" t="str">
        <x:v>[359, 220, 357, 503]</x:v>
      </x:c>
      <x:c r="M7" s="63" t="n">
        <x:v>1</x:v>
      </x:c>
      <x:c r="N7" s="63" t="n">
        <x:v>23</x:v>
      </x:c>
      <x:c r="O7" s="83" t="n">
        <x:v>7.040834</x:v>
      </x:c>
      <x:c r="P7" s="83" t="n">
        <x:v>0.117347</x:v>
      </x:c>
      <x:c r="Q7" s="82" t="n">
        <x:v>0.89059158</x:v>
      </x:c>
      <x:c r="R7" s="82" t="n">
        <x:v>0.90079367</x:v>
      </x:c>
      <x:c r="S7" s="82" t="n">
        <x:v>0.01526215</x:v>
      </x:c>
      <x:c r="T7" s="82" t="n">
        <x:v>0.90196217</x:v>
      </x:c>
      <x:c r="U7" s="82" t="n">
        <x:v>0.88888889</x:v>
      </x:c>
      <x:c r="V7" s="83" t="n">
        <x:v>7.682066</x:v>
      </x:c>
      <x:c r="W7" s="83" t="n">
        <x:v>7.698441</x:v>
      </x:c>
      <x:c r="X7" s="83" t="n">
        <x:v>230.461987</x:v>
      </x:c>
      <x:c r="Y7" s="83" t="n">
        <x:v>3.841033</x:v>
      </x:c>
      <x:c r="Z7" s="63" t="n">
        <x:v>47.433333</x:v>
      </x:c>
      <x:c r="AA7" s="63" t="n">
        <x:v>43</x:v>
      </x:c>
      <x:c r="AB7" s="63" t="str">
        <x:v>stable_gens_no_improve</x:v>
      </x:c>
    </x:row>
    <x:row r="8" ht="26" customHeight="1">
      <x:c r="A8" s="63" t="str">
        <x:v>P15</x:v>
      </x:c>
      <x:c r="B8" s="63" t="str">
        <x:v>P466</x:v>
      </x:c>
      <x:c r="C8" s="63" t="str">
        <x:v>P15</x:v>
      </x:c>
      <x:c r="D8" s="63" t="str">
        <x:v>GA_CALIBRADO_CCC</x:v>
      </x:c>
      <x:c r="E8" s="63" t="str">
        <x:v>BACKTEST_HISTORICO_2025_AE_FULL_SURROGATE</x:v>
      </x:c>
      <x:c r="F8" s="63" t="n">
        <x:v>30</x:v>
      </x:c>
      <x:c r="G8" s="63" t="n">
        <x:v>30</x:v>
      </x:c>
      <x:c r="H8" s="81" t="n">
        <x:v>1</x:v>
      </x:c>
      <x:c r="I8" s="82" t="n">
        <x:v>0.53472829</x:v>
      </x:c>
      <x:c r="J8" s="82" t="n">
        <x:v>0.49367395</x:v>
      </x:c>
      <x:c r="K8" s="82" t="n">
        <x:v>0.74</x:v>
      </x:c>
      <x:c r="L8" s="63" t="str">
        <x:v>[563, 498, 583, 467, 570]</x:v>
      </x:c>
      <x:c r="M8" s="63" t="n">
        <x:v>9</x:v>
      </x:c>
      <x:c r="N8" s="63" t="n">
        <x:v>45</x:v>
      </x:c>
      <x:c r="O8" s="83" t="n">
        <x:v>8.80927</x:v>
      </x:c>
      <x:c r="P8" s="83" t="n">
        <x:v>0.146821</x:v>
      </x:c>
      <x:c r="Q8" s="82" t="n">
        <x:v>0.51247044</x:v>
      </x:c>
      <x:c r="R8" s="82" t="n">
        <x:v>0.50876838</x:v>
      </x:c>
      <x:c r="S8" s="82" t="n">
        <x:v>0.01179279</x:v>
      </x:c>
      <x:c r="T8" s="82" t="n">
        <x:v>0.4728312</x:v>
      </x:c>
      <x:c r="U8" s="82" t="n">
        <x:v>0.71066667</x:v>
      </x:c>
      <x:c r="V8" s="83" t="n">
        <x:v>7.941365</x:v>
      </x:c>
      <x:c r="W8" s="83" t="n">
        <x:v>7.745731</x:v>
      </x:c>
      <x:c r="X8" s="83" t="n">
        <x:v>238.24096</x:v>
      </x:c>
      <x:c r="Y8" s="83" t="n">
        <x:v>3.970683</x:v>
      </x:c>
      <x:c r="Z8" s="63" t="n">
        <x:v>59.6</x:v>
      </x:c>
      <x:c r="AA8" s="63" t="n">
        <x:v>65</x:v>
      </x:c>
      <x:c r="AB8" s="63" t="str">
        <x:v>stable_gens_no_improve</x:v>
      </x:c>
    </x:row>
    <x:row r="9" ht="26" customHeight="1">
      <x:c r="A9" s="63" t="str">
        <x:v>P16</x:v>
      </x:c>
      <x:c r="B9" s="63" t="str">
        <x:v>P467</x:v>
      </x:c>
      <x:c r="C9" s="63" t="str">
        <x:v>P16</x:v>
      </x:c>
      <x:c r="D9" s="63" t="str">
        <x:v>GA_CALIBRADO_CCC</x:v>
      </x:c>
      <x:c r="E9" s="63" t="str">
        <x:v>BACKTEST_HISTORICO_2025_AE_FULL_SURROGATE</x:v>
      </x:c>
      <x:c r="F9" s="63" t="n">
        <x:v>30</x:v>
      </x:c>
      <x:c r="G9" s="63" t="n">
        <x:v>30</x:v>
      </x:c>
      <x:c r="H9" s="81" t="n">
        <x:v>1</x:v>
      </x:c>
      <x:c r="I9" s="82" t="n">
        <x:v>0.49626298</x:v>
      </x:c>
      <x:c r="J9" s="82" t="n">
        <x:v>0.44218225</x:v>
      </x:c>
      <x:c r="K9" s="82" t="n">
        <x:v>0.76666667</x:v>
      </x:c>
      <x:c r="L9" s="63" t="str">
        <x:v>[317, 81, 316, 467, 415, 370, 398, 336, 282]</x:v>
      </x:c>
      <x:c r="M9" s="63" t="n">
        <x:v>1</x:v>
      </x:c>
      <x:c r="N9" s="63" t="n">
        <x:v>68</x:v>
      </x:c>
      <x:c r="O9" s="83" t="n">
        <x:v>13.961118</x:v>
      </x:c>
      <x:c r="P9" s="83" t="n">
        <x:v>0.232685</x:v>
      </x:c>
      <x:c r="Q9" s="82" t="n">
        <x:v>0.49015391</x:v>
      </x:c>
      <x:c r="R9" s="82" t="n">
        <x:v>0.49140259</x:v>
      </x:c>
      <x:c r="S9" s="82" t="n">
        <x:v>0.00495388</x:v>
      </x:c>
      <x:c r="T9" s="82" t="n">
        <x:v>0.44207358</x:v>
      </x:c>
      <x:c r="U9" s="82" t="n">
        <x:v>0.73055556</x:v>
      </x:c>
      <x:c r="V9" s="83" t="n">
        <x:v>12.574572</x:v>
      </x:c>
      <x:c r="W9" s="83" t="n">
        <x:v>12.97465</x:v>
      </x:c>
      <x:c r="X9" s="83" t="n">
        <x:v>377.23717</x:v>
      </x:c>
      <x:c r="Y9" s="83" t="n">
        <x:v>6.287286</x:v>
      </x:c>
      <x:c r="Z9" s="63" t="n">
        <x:v>74.4</x:v>
      </x:c>
      <x:c r="AA9" s="63" t="n">
        <x:v>88</x:v>
      </x:c>
      <x:c r="AB9" s="63" t="str">
        <x:v>stable_gens_no_improve</x:v>
      </x:c>
    </x:row>
    <x:row r="10" ht="26" customHeight="1">
      <x:c r="A10" s="63" t="str">
        <x:v>P2</x:v>
      </x:c>
      <x:c r="B10" s="63" t="str">
        <x:v>P440</x:v>
      </x:c>
      <x:c r="C10" s="63" t="str">
        <x:v>P2</x:v>
      </x:c>
      <x:c r="D10" s="63" t="str">
        <x:v>GA_CALIBRADO_CCC</x:v>
      </x:c>
      <x:c r="E10" s="63" t="str">
        <x:v>BACKTEST_HISTORICO_2025_AE_FULL_SURROGATE</x:v>
      </x:c>
      <x:c r="F10" s="63" t="n">
        <x:v>30</x:v>
      </x:c>
      <x:c r="G10" s="63" t="n">
        <x:v>30</x:v>
      </x:c>
      <x:c r="H10" s="81" t="n">
        <x:v>1</x:v>
      </x:c>
      <x:c r="I10" s="82" t="n">
        <x:v>0.51666909</x:v>
      </x:c>
      <x:c r="J10" s="82" t="n">
        <x:v>0.5000029</x:v>
      </x:c>
      <x:c r="K10" s="82" t="n">
        <x:v>0.6</x:v>
      </x:c>
      <x:c r="L10" s="63" t="str">
        <x:v>[7, 290, 484, 33, 94, 560, 447, 397]</x:v>
      </x:c>
      <x:c r="M10" s="63" t="n">
        <x:v>2</x:v>
      </x:c>
      <x:c r="N10" s="63" t="n">
        <x:v>79</x:v>
      </x:c>
      <x:c r="O10" s="83" t="n">
        <x:v>20.095191</x:v>
      </x:c>
      <x:c r="P10" s="83" t="n">
        <x:v>0.33492</x:v>
      </x:c>
      <x:c r="Q10" s="82" t="n">
        <x:v>0.49594424</x:v>
      </x:c>
      <x:c r="R10" s="82" t="n">
        <x:v>0.49485699</x:v>
      </x:c>
      <x:c r="S10" s="82" t="n">
        <x:v>0.01096839</x:v>
      </x:c>
      <x:c r="T10" s="82" t="n">
        <x:v>0.46484738</x:v>
      </x:c>
      <x:c r="U10" s="82" t="n">
        <x:v>0.65142857</x:v>
      </x:c>
      <x:c r="V10" s="83" t="n">
        <x:v>14.644346</x:v>
      </x:c>
      <x:c r="W10" s="83" t="n">
        <x:v>13.80944</x:v>
      </x:c>
      <x:c r="X10" s="83" t="n">
        <x:v>439.330374</x:v>
      </x:c>
      <x:c r="Y10" s="83" t="n">
        <x:v>7.322173</x:v>
      </x:c>
      <x:c r="Z10" s="63" t="n">
        <x:v>78.866667</x:v>
      </x:c>
      <x:c r="AA10" s="63" t="n">
        <x:v>99</x:v>
      </x:c>
      <x:c r="AB10" s="63" t="str">
        <x:v>stable_gens_no_improve</x:v>
      </x:c>
    </x:row>
    <x:row r="11" ht="26" customHeight="1">
      <x:c r="A11" s="63" t="str">
        <x:v>P3</x:v>
      </x:c>
      <x:c r="B11" s="63" t="str">
        <x:v>P441</x:v>
      </x:c>
      <x:c r="C11" s="63" t="str">
        <x:v>P3</x:v>
      </x:c>
      <x:c r="D11" s="63" t="str">
        <x:v>GA_CALIBRADO_CCC</x:v>
      </x:c>
      <x:c r="E11" s="63" t="str">
        <x:v>BACKTEST_HISTORICO_2025_AE_FULL_SURROGATE</x:v>
      </x:c>
      <x:c r="F11" s="63" t="n">
        <x:v>30</x:v>
      </x:c>
      <x:c r="G11" s="63" t="n">
        <x:v>30</x:v>
      </x:c>
      <x:c r="H11" s="81" t="n">
        <x:v>1</x:v>
      </x:c>
      <x:c r="I11" s="82" t="n">
        <x:v>0.68216956</x:v>
      </x:c>
      <x:c r="J11" s="82" t="n">
        <x:v>0.67460348</x:v>
      </x:c>
      <x:c r="K11" s="82" t="n">
        <x:v>0.72</x:v>
      </x:c>
      <x:c r="L11" s="63" t="str">
        <x:v>[415, 370, 282, 336, 211]</x:v>
      </x:c>
      <x:c r="M11" s="63" t="n">
        <x:v>30</x:v>
      </x:c>
      <x:c r="N11" s="63" t="n">
        <x:v>64</x:v>
      </x:c>
      <x:c r="O11" s="83" t="n">
        <x:v>5.712216</x:v>
      </x:c>
      <x:c r="P11" s="83" t="n">
        <x:v>0.095204</x:v>
      </x:c>
      <x:c r="Q11" s="82" t="n">
        <x:v>0.65565473</x:v>
      </x:c>
      <x:c r="R11" s="82" t="n">
        <x:v>0.65464856</x:v>
      </x:c>
      <x:c r="S11" s="82" t="n">
        <x:v>0.0061052</x:v>
      </x:c>
      <x:c r="T11" s="82" t="n">
        <x:v>0.61665234</x:v>
      </x:c>
      <x:c r="U11" s="82" t="n">
        <x:v>0.85066667</x:v>
      </x:c>
      <x:c r="V11" s="83" t="n">
        <x:v>8.880715</x:v>
      </x:c>
      <x:c r="W11" s="83" t="n">
        <x:v>9.334222</x:v>
      </x:c>
      <x:c r="X11" s="83" t="n">
        <x:v>266.421438</x:v>
      </x:c>
      <x:c r="Y11" s="83" t="n">
        <x:v>4.440357</x:v>
      </x:c>
      <x:c r="Z11" s="63" t="n">
        <x:v>64.833333</x:v>
      </x:c>
      <x:c r="AA11" s="63" t="n">
        <x:v>84</x:v>
      </x:c>
      <x:c r="AB11" s="63" t="str">
        <x:v>stable_gens_no_improve</x:v>
      </x:c>
    </x:row>
    <x:row r="12" ht="26" customHeight="1">
      <x:c r="A12" s="63" t="str">
        <x:v>P4</x:v>
      </x:c>
      <x:c r="B12" s="63" t="str">
        <x:v>P443</x:v>
      </x:c>
      <x:c r="C12" s="63" t="str">
        <x:v>P4</x:v>
      </x:c>
      <x:c r="D12" s="63" t="str">
        <x:v>GA_CALIBRADO_CCC</x:v>
      </x:c>
      <x:c r="E12" s="63" t="str">
        <x:v>BACKTEST_HISTORICO_2025_AE_FULL_SURROGATE</x:v>
      </x:c>
      <x:c r="F12" s="63" t="n">
        <x:v>30</x:v>
      </x:c>
      <x:c r="G12" s="63" t="n">
        <x:v>30</x:v>
      </x:c>
      <x:c r="H12" s="81" t="n">
        <x:v>1</x:v>
      </x:c>
      <x:c r="I12" s="82" t="n">
        <x:v>0.65057902</x:v>
      </x:c>
      <x:c r="J12" s="82" t="n">
        <x:v>0.61736149</x:v>
      </x:c>
      <x:c r="K12" s="82" t="n">
        <x:v>0.81666667</x:v>
      </x:c>
      <x:c r="L12" s="63" t="str">
        <x:v>[492, 257, 496, 94, 382, 477, 27, 500, 615]</x:v>
      </x:c>
      <x:c r="M12" s="63" t="n">
        <x:v>2</x:v>
      </x:c>
      <x:c r="N12" s="63" t="n">
        <x:v>39</x:v>
      </x:c>
      <x:c r="O12" s="83" t="n">
        <x:v>5.969735</x:v>
      </x:c>
      <x:c r="P12" s="83" t="n">
        <x:v>0.099496</x:v>
      </x:c>
      <x:c r="Q12" s="82" t="n">
        <x:v>0.64395158</x:v>
      </x:c>
      <x:c r="R12" s="82" t="n">
        <x:v>0.64566528</x:v>
      </x:c>
      <x:c r="S12" s="82" t="n">
        <x:v>0.00573653</x:v>
      </x:c>
      <x:c r="T12" s="82" t="n">
        <x:v>0.62285301</x:v>
      </x:c>
      <x:c r="U12" s="82" t="n">
        <x:v>0.74944444</x:v>
      </x:c>
      <x:c r="V12" s="83" t="n">
        <x:v>12.53953</x:v>
      </x:c>
      <x:c r="W12" s="83" t="n">
        <x:v>11.902525</x:v>
      </x:c>
      <x:c r="X12" s="83" t="n">
        <x:v>376.185888</x:v>
      </x:c>
      <x:c r="Y12" s="83" t="n">
        <x:v>6.269765</x:v>
      </x:c>
      <x:c r="Z12" s="63" t="n">
        <x:v>66.6</x:v>
      </x:c>
      <x:c r="AA12" s="63" t="n">
        <x:v>59</x:v>
      </x:c>
      <x:c r="AB12" s="63" t="str">
        <x:v>stable_gens_no_improve</x:v>
      </x:c>
    </x:row>
    <x:row r="13" ht="26" customHeight="1">
      <x:c r="A13" s="63" t="str">
        <x:v>P5</x:v>
      </x:c>
      <x:c r="B13" s="63" t="str">
        <x:v>P444</x:v>
      </x:c>
      <x:c r="C13" s="63" t="str">
        <x:v>P5</x:v>
      </x:c>
      <x:c r="D13" s="63" t="str">
        <x:v>GA_CALIBRADO_CCC</x:v>
      </x:c>
      <x:c r="E13" s="63" t="str">
        <x:v>BACKTEST_HISTORICO_2025_AE_FULL_SURROGATE</x:v>
      </x:c>
      <x:c r="F13" s="63" t="n">
        <x:v>30</x:v>
      </x:c>
      <x:c r="G13" s="63" t="n">
        <x:v>30</x:v>
      </x:c>
      <x:c r="H13" s="81" t="n">
        <x:v>1</x:v>
      </x:c>
      <x:c r="I13" s="82" t="n">
        <x:v>0.63650827</x:v>
      </x:c>
      <x:c r="J13" s="82" t="n">
        <x:v>0.59047659</x:v>
      </x:c>
      <x:c r="K13" s="82" t="n">
        <x:v>0.86666667</x:v>
      </x:c>
      <x:c r="L13" s="63" t="str">
        <x:v>[467, 415, 398, 316]</x:v>
      </x:c>
      <x:c r="M13" s="63" t="n">
        <x:v>14</x:v>
      </x:c>
      <x:c r="N13" s="63" t="n">
        <x:v>44</x:v>
      </x:c>
      <x:c r="O13" s="83" t="n">
        <x:v>9.366675</x:v>
      </x:c>
      <x:c r="P13" s="83" t="n">
        <x:v>0.156111</x:v>
      </x:c>
      <x:c r="Q13" s="82" t="n">
        <x:v>0.62233761</x:v>
      </x:c>
      <x:c r="R13" s="82" t="n">
        <x:v>0.62063528</x:v>
      </x:c>
      <x:c r="S13" s="82" t="n">
        <x:v>0.00690376</x:v>
      </x:c>
      <x:c r="T13" s="82" t="n">
        <x:v>0.5754718</x:v>
      </x:c>
      <x:c r="U13" s="82" t="n">
        <x:v>0.85666667</x:v>
      </x:c>
      <x:c r="V13" s="83" t="n">
        <x:v>6.54282</x:v>
      </x:c>
      <x:c r="W13" s="83" t="n">
        <x:v>6.670946</x:v>
      </x:c>
      <x:c r="X13" s="83" t="n">
        <x:v>196.284612</x:v>
      </x:c>
      <x:c r="Y13" s="83" t="n">
        <x:v>3.27141</x:v>
      </x:c>
      <x:c r="Z13" s="63" t="n">
        <x:v>45.3</x:v>
      </x:c>
      <x:c r="AA13" s="63" t="n">
        <x:v>64</x:v>
      </x:c>
      <x:c r="AB13" s="63" t="str">
        <x:v>stable_gens_no_improve</x:v>
      </x:c>
    </x:row>
    <x:row r="14" ht="26" customHeight="1">
      <x:c r="A14" s="63" t="str">
        <x:v>P6</x:v>
      </x:c>
      <x:c r="B14" s="63" t="str">
        <x:v>P445</x:v>
      </x:c>
      <x:c r="C14" s="63" t="str">
        <x:v>P6</x:v>
      </x:c>
      <x:c r="D14" s="63" t="str">
        <x:v>GA_CALIBRADO_CCC</x:v>
      </x:c>
      <x:c r="E14" s="63" t="str">
        <x:v>BACKTEST_HISTORICO_2025_AE_FULL_SURROGATE</x:v>
      </x:c>
      <x:c r="F14" s="63" t="n">
        <x:v>30</x:v>
      </x:c>
      <x:c r="G14" s="63" t="n">
        <x:v>30</x:v>
      </x:c>
      <x:c r="H14" s="81" t="n">
        <x:v>1</x:v>
      </x:c>
      <x:c r="I14" s="82" t="n">
        <x:v>0.53932621</x:v>
      </x:c>
      <x:c r="J14" s="82" t="n">
        <x:v>0.48814383</x:v>
      </x:c>
      <x:c r="K14" s="82" t="n">
        <x:v>0.7952381</x:v>
      </x:c>
      <x:c r="L14" s="63" t="str">
        <x:v>[382, 94, 402, 183, 290, 363, 484]</x:v>
      </x:c>
      <x:c r="M14" s="63" t="n">
        <x:v>6</x:v>
      </x:c>
      <x:c r="N14" s="63" t="n">
        <x:v>56</x:v>
      </x:c>
      <x:c r="O14" s="83" t="n">
        <x:v>14.633224</x:v>
      </x:c>
      <x:c r="P14" s="83" t="n">
        <x:v>0.243887</x:v>
      </x:c>
      <x:c r="Q14" s="82" t="n">
        <x:v>0.53264846</x:v>
      </x:c>
      <x:c r="R14" s="82" t="n">
        <x:v>0.53295096</x:v>
      </x:c>
      <x:c r="S14" s="82" t="n">
        <x:v>0.00567295</x:v>
      </x:c>
      <x:c r="T14" s="82" t="n">
        <x:v>0.48673371</x:v>
      </x:c>
      <x:c r="U14" s="82" t="n">
        <x:v>0.76222222</x:v>
      </x:c>
      <x:c r="V14" s="83" t="n">
        <x:v>12.541004</x:v>
      </x:c>
      <x:c r="W14" s="83" t="n">
        <x:v>12.925301</x:v>
      </x:c>
      <x:c r="X14" s="83" t="n">
        <x:v>376.230119</x:v>
      </x:c>
      <x:c r="Y14" s="83" t="n">
        <x:v>6.270502</x:v>
      </x:c>
      <x:c r="Z14" s="63" t="n">
        <x:v>69.366667</x:v>
      </x:c>
      <x:c r="AA14" s="63" t="n">
        <x:v>76</x:v>
      </x:c>
      <x:c r="AB14" s="63" t="str">
        <x:v>stable_gens_no_improve</x:v>
      </x:c>
    </x:row>
    <x:row r="15" ht="26" customHeight="1">
      <x:c r="A15" s="63" t="str">
        <x:v>P7</x:v>
      </x:c>
      <x:c r="B15" s="63" t="str">
        <x:v>P447</x:v>
      </x:c>
      <x:c r="C15" s="63" t="str">
        <x:v>P7</x:v>
      </x:c>
      <x:c r="D15" s="63" t="str">
        <x:v>GA_CALIBRADO_CCC</x:v>
      </x:c>
      <x:c r="E15" s="63" t="str">
        <x:v>BACKTEST_HISTORICO_2025_AE_FULL_SURROGATE</x:v>
      </x:c>
      <x:c r="F15" s="63" t="n">
        <x:v>30</x:v>
      </x:c>
      <x:c r="G15" s="63" t="n">
        <x:v>30</x:v>
      </x:c>
      <x:c r="H15" s="81" t="n">
        <x:v>1</x:v>
      </x:c>
      <x:c r="I15" s="82" t="n">
        <x:v>0.63262637</x:v>
      </x:c>
      <x:c r="J15" s="82" t="n">
        <x:v>0.58715165</x:v>
      </x:c>
      <x:c r="K15" s="82" t="n">
        <x:v>0.86</x:v>
      </x:c>
      <x:c r="L15" s="63" t="str">
        <x:v>[81, 370, 415, 282, 336]</x:v>
      </x:c>
      <x:c r="M15" s="63" t="n">
        <x:v>5</x:v>
      </x:c>
      <x:c r="N15" s="63" t="n">
        <x:v>56</x:v>
      </x:c>
      <x:c r="O15" s="83" t="n">
        <x:v>12.269228</x:v>
      </x:c>
      <x:c r="P15" s="83" t="n">
        <x:v>0.204487</x:v>
      </x:c>
      <x:c r="Q15" s="82" t="n">
        <x:v>0.61627523</x:v>
      </x:c>
      <x:c r="R15" s="82" t="n">
        <x:v>0.61705951</x:v>
      </x:c>
      <x:c r="S15" s="82" t="n">
        <x:v>0.00775901</x:v>
      </x:c>
      <x:c r="T15" s="82" t="n">
        <x:v>0.57246361</x:v>
      </x:c>
      <x:c r="U15" s="82" t="n">
        <x:v>0.83533333</x:v>
      </x:c>
      <x:c r="V15" s="83" t="n">
        <x:v>8.311989</x:v>
      </x:c>
      <x:c r="W15" s="83" t="n">
        <x:v>8.205946</x:v>
      </x:c>
      <x:c r="X15" s="83" t="n">
        <x:v>249.359664</x:v>
      </x:c>
      <x:c r="Y15" s="83" t="n">
        <x:v>4.155994</x:v>
      </x:c>
      <x:c r="Z15" s="63" t="n">
        <x:v>61.633333</x:v>
      </x:c>
      <x:c r="AA15" s="63" t="n">
        <x:v>76</x:v>
      </x:c>
      <x:c r="AB15" s="63" t="str">
        <x:v>stable_gens_no_improve</x:v>
      </x:c>
    </x:row>
    <x:row r="16" ht="26" customHeight="1">
      <x:c r="A16" s="63" t="str">
        <x:v>P8</x:v>
      </x:c>
      <x:c r="B16" s="63" t="str">
        <x:v>P449</x:v>
      </x:c>
      <x:c r="C16" s="63" t="str">
        <x:v>P8</x:v>
      </x:c>
      <x:c r="D16" s="63" t="str">
        <x:v>GA_CALIBRADO_CCC</x:v>
      </x:c>
      <x:c r="E16" s="63" t="str">
        <x:v>BACKTEST_HISTORICO_2025_AE_FULL_SURROGATE</x:v>
      </x:c>
      <x:c r="F16" s="63" t="n">
        <x:v>30</x:v>
      </x:c>
      <x:c r="G16" s="63" t="n">
        <x:v>30</x:v>
      </x:c>
      <x:c r="H16" s="81" t="n">
        <x:v>1</x:v>
      </x:c>
      <x:c r="I16" s="82" t="n">
        <x:v>0.67571458</x:v>
      </x:c>
      <x:c r="J16" s="82" t="n">
        <x:v>0.6428575</x:v>
      </x:c>
      <x:c r="K16" s="82" t="n">
        <x:v>0.84</x:v>
      </x:c>
      <x:c r="L16" s="63" t="str">
        <x:v>[370, 398, 415, 336, 81]</x:v>
      </x:c>
      <x:c r="M16" s="63" t="n">
        <x:v>6</x:v>
      </x:c>
      <x:c r="N16" s="63" t="n">
        <x:v>38</x:v>
      </x:c>
      <x:c r="O16" s="83" t="n">
        <x:v>8.478818</x:v>
      </x:c>
      <x:c r="P16" s="83" t="n">
        <x:v>0.141314</x:v>
      </x:c>
      <x:c r="Q16" s="82" t="n">
        <x:v>0.66154253</x:v>
      </x:c>
      <x:c r="R16" s="82" t="n">
        <x:v>0.66254</x:v>
      </x:c>
      <x:c r="S16" s="82" t="n">
        <x:v>0.00597652</x:v>
      </x:c>
      <x:c r="T16" s="82" t="n">
        <x:v>0.6249177</x:v>
      </x:c>
      <x:c r="U16" s="82" t="n">
        <x:v>0.84466667</x:v>
      </x:c>
      <x:c r="V16" s="83" t="n">
        <x:v>9.087537</x:v>
      </x:c>
      <x:c r="W16" s="83" t="n">
        <x:v>9.075143</x:v>
      </x:c>
      <x:c r="X16" s="83" t="n">
        <x:v>272.626106</x:v>
      </x:c>
      <x:c r="Y16" s="83" t="n">
        <x:v>4.543768</x:v>
      </x:c>
      <x:c r="Z16" s="63" t="n">
        <x:v>60.533333</x:v>
      </x:c>
      <x:c r="AA16" s="63" t="n">
        <x:v>58</x:v>
      </x:c>
      <x:c r="AB16" s="63" t="str">
        <x:v>stable_gens_no_improve</x:v>
      </x:c>
    </x:row>
    <x:row r="17" ht="26" customHeight="1">
      <x:c r="A17" s="66" t="str">
        <x:v>P9</x:v>
      </x:c>
      <x:c r="B17" s="66" t="str">
        <x:v>P453</x:v>
      </x:c>
      <x:c r="C17" s="66" t="str">
        <x:v>P9</x:v>
      </x:c>
      <x:c r="D17" s="66" t="str">
        <x:v>GA_CALIBRADO_CCC</x:v>
      </x:c>
      <x:c r="E17" s="66" t="str">
        <x:v>BACKTEST_HISTORICO_2025_AE_FULL_SURROGATE</x:v>
      </x:c>
      <x:c r="F17" s="66" t="n">
        <x:v>30</x:v>
      </x:c>
      <x:c r="G17" s="66" t="n">
        <x:v>30</x:v>
      </x:c>
      <x:c r="H17" s="84" t="n">
        <x:v>1</x:v>
      </x:c>
      <x:c r="I17" s="85" t="n">
        <x:v>0.53105861</x:v>
      </x:c>
      <x:c r="J17" s="85" t="n">
        <x:v>0.507937</x:v>
      </x:c>
      <x:c r="K17" s="85" t="n">
        <x:v>0.64666667</x:v>
      </x:c>
      <x:c r="L17" s="66" t="str">
        <x:v>[290, 382, 560, 647, 484, 94]</x:v>
      </x:c>
      <x:c r="M17" s="66" t="n">
        <x:v>3</x:v>
      </x:c>
      <x:c r="N17" s="66" t="n">
        <x:v>70</x:v>
      </x:c>
      <x:c r="O17" s="86" t="n">
        <x:v>13.886385</x:v>
      </x:c>
      <x:c r="P17" s="86" t="n">
        <x:v>0.23144</x:v>
      </x:c>
      <x:c r="Q17" s="85" t="n">
        <x:v>0.50983794</x:v>
      </x:c>
      <x:c r="R17" s="85" t="n">
        <x:v>0.51216972</x:v>
      </x:c>
      <x:c r="S17" s="85" t="n">
        <x:v>0.01720246</x:v>
      </x:c>
      <x:c r="T17" s="85" t="n">
        <x:v>0.47285106</x:v>
      </x:c>
      <x:c r="U17" s="85" t="n">
        <x:v>0.69866667</x:v>
      </x:c>
      <x:c r="V17" s="86" t="n">
        <x:v>9.871846</x:v>
      </x:c>
      <x:c r="W17" s="86" t="n">
        <x:v>9.11285</x:v>
      </x:c>
      <x:c r="X17" s="86" t="n">
        <x:v>296.155387</x:v>
      </x:c>
      <x:c r="Y17" s="86" t="n">
        <x:v>4.935923</x:v>
      </x:c>
      <x:c r="Z17" s="66" t="n">
        <x:v>63.4</x:v>
      </x:c>
      <x:c r="AA17" s="66" t="n">
        <x:v>90</x:v>
      </x:c>
      <x:c r="AB17" s="66" t="str">
        <x:v>stable_gens_no_improve</x:v>
      </x:c>
    </x:row>
  </x:sheetData>
  <x:pageMargins left="0.7" right="0.7" top="0.75" bottom="0.75" header="0.3" footer="0.3"/>
  <x:tableParts count="1">
    <x:tablePart xmlns:r="http://schemas.openxmlformats.org/officeDocument/2006/relationships" r:id="R84ec601cd6ac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6" max="16" width="28" hidden="0" customWidth="1"/>
    <x:col min="17" max="17" width="28" hidden="0" customWidth="1"/>
    <x:col min="1" max="1" width="24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3" hidden="0" customWidth="1"/>
    <x:col min="9" max="9" width="34" hidden="0" customWidth="1"/>
    <x:col min="10" max="10" width="15" hidden="0" customWidth="1"/>
    <x:col min="11" max="11" width="13" hidden="0" customWidth="1"/>
    <x:col min="12" max="12" width="24" hidden="0" customWidth="1"/>
    <x:col min="13" max="13" width="15" hidden="0" customWidth="1"/>
    <x:col min="14" max="14" width="14" hidden="0" customWidth="1"/>
    <x:col min="15" max="15" width="10" hidden="0" customWidth="1"/>
    <x:col min="18" max="18" width="16" hidden="0" customWidth="1"/>
  </x:cols>
  <x:sheetData>
    <x:row r="1" ht="30" customHeight="1">
      <x:c r="A1" s="102" t="str">
        <x:v>Direct LLM vs Calibrated GA — Reproducibility Comparison</x:v>
      </x:c>
      <x:c r="B1" s="102" t="str">
        <x:v>Direct LLM vs Calibrated GA — Reproducibility Comparison</x:v>
      </x:c>
      <x:c r="C1" s="102" t="str">
        <x:v>Direct LLM vs Calibrated GA — Reproducibility Comparison</x:v>
      </x:c>
      <x:c r="D1" s="102" t="str">
        <x:v>Direct LLM vs Calibrated GA — Reproducibility Comparison</x:v>
      </x:c>
      <x:c r="E1" s="102" t="str">
        <x:v>Direct LLM vs Calibrated GA — Reproducibility Comparison</x:v>
      </x:c>
      <x:c r="F1" s="102" t="str">
        <x:v>Direct LLM vs Calibrated GA — Reproducibility Comparison</x:v>
      </x:c>
      <x:c r="G1" s="102" t="str">
        <x:v>Direct LLM vs Calibrated GA — Reproducibility Comparison</x:v>
      </x:c>
      <x:c r="H1" s="102" t="str">
        <x:v>Direct LLM vs Calibrated GA — Reproducibility Comparison</x:v>
      </x:c>
      <x:c r="I1" s="102" t="str">
        <x:v>Direct LLM vs Calibrated GA — Reproducibility Comparison</x:v>
      </x:c>
      <x:c r="J1" s="102" t="str">
        <x:v>Direct LLM vs Calibrated GA — Reproducibility Comparison</x:v>
      </x:c>
      <x:c r="K1" s="102" t="str">
        <x:v>Direct LLM vs Calibrated GA — Reproducibility Comparison</x:v>
      </x:c>
      <x:c r="L1" s="102" t="str">
        <x:v>Direct LLM vs Calibrated GA — Reproducibility Comparison</x:v>
      </x:c>
      <x:c r="M1" s="102" t="str">
        <x:v>Direct LLM vs Calibrated GA — Reproducibility Comparison</x:v>
      </x:c>
      <x:c r="N1" s="102" t="str">
        <x:v>Direct LLM vs Calibrated GA — Reproducibility Comparison</x:v>
      </x:c>
      <x:c r="O1" s="102" t="str">
        <x:v>Direct LLM vs Calibrated GA — Reproducibility Comparison</x:v>
      </x:c>
      <x:c r="P1" s="102" t="str">
        <x:v>Direct LLM vs Calibrated GA — Reproducibility Comparison</x:v>
      </x:c>
      <x:c r="Q1" s="102" t="str">
        <x:v>Direct LLM vs Calibrated GA — Reproducibility Comparison</x:v>
      </x:c>
      <x:c r="R1" s="102" t="str">
        <x:v>Direct LLM vs Calibrated GA — Reproducibility Comparison</x:v>
      </x:c>
    </x:row>
    <x:row r="2" ht="24" customHeight="1">
      <x:c r="A2" s="108" t="str">
        <x:v>This workbook compares the newly rerun direct-LLM team recommendations with the calibrated GA using project-level AE, AT, and AC outcomes.</x:v>
      </x:c>
      <x:c r="B2" s="108" t="str">
        <x:v>This workbook compares the newly rerun direct-LLM team recommendations with the calibrated GA using project-level AE, AT, and AC outcomes.</x:v>
      </x:c>
      <x:c r="C2" s="108" t="str">
        <x:v>This workbook compares the newly rerun direct-LLM team recommendations with the calibrated GA using project-level AE, AT, and AC outcomes.</x:v>
      </x:c>
      <x:c r="D2" s="108" t="str">
        <x:v>This workbook compares the newly rerun direct-LLM team recommendations with the calibrated GA using project-level AE, AT, and AC outcomes.</x:v>
      </x:c>
      <x:c r="E2" s="108" t="str">
        <x:v>This workbook compares the newly rerun direct-LLM team recommendations with the calibrated GA using project-level AE, AT, and AC outcomes.</x:v>
      </x:c>
      <x:c r="F2" s="108" t="str">
        <x:v>This workbook compares the newly rerun direct-LLM team recommendations with the calibrated GA using project-level AE, AT, and AC outcomes.</x:v>
      </x:c>
      <x:c r="G2" s="108" t="str">
        <x:v>This workbook compares the newly rerun direct-LLM team recommendations with the calibrated GA using project-level AE, AT, and AC outcomes.</x:v>
      </x:c>
      <x:c r="H2" s="108" t="str">
        <x:v>This workbook compares the newly rerun direct-LLM team recommendations with the calibrated GA using project-level AE, AT, and AC outcomes.</x:v>
      </x:c>
      <x:c r="I2" s="108" t="str">
        <x:v>This workbook compares the newly rerun direct-LLM team recommendations with the calibrated GA using project-level AE, AT, and AC outcomes.</x:v>
      </x:c>
      <x:c r="J2" s="108" t="str">
        <x:v>This workbook compares the newly rerun direct-LLM team recommendations with the calibrated GA using project-level AE, AT, and AC outcomes.</x:v>
      </x:c>
      <x:c r="K2" s="108" t="str">
        <x:v>This workbook compares the newly rerun direct-LLM team recommendations with the calibrated GA using project-level AE, AT, and AC outcomes.</x:v>
      </x:c>
      <x:c r="L2" s="108" t="str">
        <x:v>This workbook compares the newly rerun direct-LLM team recommendations with the calibrated GA using project-level AE, AT, and AC outcomes.</x:v>
      </x:c>
      <x:c r="M2" s="108" t="str">
        <x:v>This workbook compares the newly rerun direct-LLM team recommendations with the calibrated GA using project-level AE, AT, and AC outcomes.</x:v>
      </x:c>
      <x:c r="N2" s="108" t="str">
        <x:v>This workbook compares the newly rerun direct-LLM team recommendations with the calibrated GA using project-level AE, AT, and AC outcomes.</x:v>
      </x:c>
      <x:c r="O2" s="108" t="str">
        <x:v>This workbook compares the newly rerun direct-LLM team recommendations with the calibrated GA using project-level AE, AT, and AC outcomes.</x:v>
      </x:c>
      <x:c r="P2" s="108" t="str">
        <x:v>This workbook compares the newly rerun direct-LLM team recommendations with the calibrated GA using project-level AE, AT, and AC outcomes.</x:v>
      </x:c>
      <x:c r="Q2" s="108" t="str">
        <x:v>This workbook compares the newly rerun direct-LLM team recommendations with the calibrated GA using project-level AE, AT, and AC outcomes.</x:v>
      </x:c>
      <x:c r="R2" s="108" t="str">
        <x:v>This workbook compares the newly rerun direct-LLM team recommendations with the calibrated GA using project-level AE, AT, and AC outcomes.</x:v>
      </x:c>
    </x:row>
    <x:row r="3" ht="34" customHeight="1">
      <x:c r="A3" s="12" t="str">
        <x:v>Method</x:v>
      </x:c>
      <x:c r="B3" s="12" t="str">
        <x:v>Output Basis</x:v>
      </x:c>
      <x:c r="C3" s="12" t="str">
        <x:v>Valid Outputs</x:v>
      </x:c>
      <x:c r="D3" s="12" t="str">
        <x:v>Mean AE</x:v>
      </x:c>
      <x:c r="E3" s="12" t="str">
        <x:v>Median AE</x:v>
      </x:c>
      <x:c r="F3" s="12" t="str">
        <x:v>Mean AT</x:v>
      </x:c>
      <x:c r="G3" s="12" t="str">
        <x:v>Mean AC</x:v>
      </x:c>
      <x:c r="I3" s="12" t="str">
        <x:v>Paired Project-Level Statistic</x:v>
      </x:c>
      <x:c r="J3" s="12" t="str">
        <x:v>Value</x:v>
      </x:c>
      <x:c r="L3" s="12" t="str">
        <x:v>Statistical Assumption</x:v>
      </x:c>
      <x:c r="M3" s="12" t="str">
        <x:v>Value</x:v>
      </x:c>
    </x:row>
    <x:row r="4">
      <x:c r="A4" s="124" t="str">
        <x:v>Direct LLM</x:v>
      </x:c>
      <x:c r="B4" s="124" t="str">
        <x:v>Selected response_1</x:v>
      </x:c>
      <x:c r="C4" s="124" t="str">
        <x:f>COUNTIF($R$18:$R$33,"Yes")&amp;"/"&amp;ROWS($R$18:$R$33)&amp;" teams"</x:f>
        <x:v>16/16 teams</x:v>
      </x:c>
      <x:c r="D4" s="125" t="n">
        <x:f>AVERAGE($C$18:$C$33)</x:f>
        <x:v>0.4953160328207672</x:v>
      </x:c>
      <x:c r="E4" s="125" t="n">
        <x:f>MEDIAN($C$18:$C$33)</x:f>
        <x:v>0.4777118902116402</x:v>
      </x:c>
      <x:c r="F4" s="125" t="n">
        <x:f>AVERAGE($G$18:$G$33)</x:f>
        <x:v>0.5491075937500001</x:v>
      </x:c>
      <x:c r="G4" s="125" t="n">
        <x:f>AVERAGE($J$18:$J$33)</x:f>
        <x:v>0.5116369047619047</x:v>
      </x:c>
      <x:c r="I4" s="124" t="str">
        <x:v>Projects</x:v>
      </x:c>
      <x:c r="J4" s="144" t="n">
        <x:f>COUNTA($A$18:$A$33)</x:f>
        <x:v>16</x:v>
      </x:c>
      <x:c r="L4" s="124" t="str">
        <x:v>Confidence level</x:v>
      </x:c>
      <x:c r="M4" s="156" t="n">
        <x:v>0.95</x:v>
      </x:c>
    </x:row>
    <x:row r="5">
      <x:c r="A5" s="128" t="str">
        <x:v>Calibrated GA mean-run</x:v>
      </x:c>
      <x:c r="B5" s="128" t="str">
        <x:v>Mean across 30 runs/project</x:v>
      </x:c>
      <x:c r="C5" s="128" t="str">
        <x:f>'GA Results'!$G$2*1+'GA Results'!$G$3*1+'GA Results'!$G$4*1+'GA Results'!$G$5*1+'GA Results'!$G$6*1+'GA Results'!$G$7*1+'GA Results'!$G$8*1+'GA Results'!$G$9*1+'GA Results'!$G$10*1+'GA Results'!$G$11*1+'GA Results'!$G$12*1+'GA Results'!$G$13*1+'GA Results'!$G$14*1+'GA Results'!$G$15*1+'GA Results'!$G$16*1+'GA Results'!$G$17*1&amp;"/"&amp;('GA Results'!$F$2*1+'GA Results'!$F$3*1+'GA Results'!$F$4*1+'GA Results'!$F$5*1+'GA Results'!$F$6*1+'GA Results'!$F$7*1+'GA Results'!$F$8*1+'GA Results'!$F$9*1+'GA Results'!$F$10*1+'GA Results'!$F$11*1+'GA Results'!$F$12*1+'GA Results'!$F$13*1+'GA Results'!$F$14*1+'GA Results'!$F$15*1+'GA Results'!$F$16*1+'GA Results'!$F$17*1)&amp;" runs"</x:f>
        <x:v>480/480 runs</x:v>
      </x:c>
      <x:c r="D5" s="129" t="n">
        <x:f>AVERAGE($M$18:$M$33)</x:f>
        <x:v>0.606115660625</x:v>
      </x:c>
      <x:c r="E5" s="129" t="n">
        <x:f>MEDIAN($M$18:$M$33)</x:f>
        <x:v>0.6053183099999999</x:v>
      </x:c>
      <x:c r="F5" s="129" t="n">
        <x:f>AVERAGE('GA Results'!$T$2:$T$17)</x:f>
        <x:v>0.5716069443749999</x:v>
      </x:c>
      <x:c r="G5" s="129" t="n">
        <x:f>AVERAGE('GA Results'!$U$2:$U$17)</x:f>
        <x:v>0.7823495374999999</x:v>
      </x:c>
      <x:c r="I5" s="140" t="str">
        <x:v>GA wins</x:v>
      </x:c>
      <x:c r="J5" s="145" t="n">
        <x:f>COUNTIF($O$18:$O$33,"GA")</x:f>
        <x:v>16</x:v>
      </x:c>
      <x:c r="L5" s="140" t="str">
        <x:v>Degrees of freedom</x:v>
      </x:c>
      <x:c r="M5" s="113" t="n">
        <x:f>J4-1</x:f>
        <x:v>15</x:v>
      </x:c>
    </x:row>
    <x:row r="6">
      <x:c r="A6" s="136" t="str">
        <x:v>Calibrated GA best-of-30</x:v>
      </x:c>
      <x:c r="B6" s="136" t="str">
        <x:v>Best recommendation/project</x:v>
      </x:c>
      <x:c r="C6" s="136" t="str">
        <x:f>'GA Results'!$G$2*1+'GA Results'!$G$3*1+'GA Results'!$G$4*1+'GA Results'!$G$5*1+'GA Results'!$G$6*1+'GA Results'!$G$7*1+'GA Results'!$G$8*1+'GA Results'!$G$9*1+'GA Results'!$G$10*1+'GA Results'!$G$11*1+'GA Results'!$G$12*1+'GA Results'!$G$13*1+'GA Results'!$G$14*1+'GA Results'!$G$15*1+'GA Results'!$G$16*1+'GA Results'!$G$17*1&amp;"/"&amp;('GA Results'!$F$2*1+'GA Results'!$F$3*1+'GA Results'!$F$4*1+'GA Results'!$F$5*1+'GA Results'!$F$6*1+'GA Results'!$F$7*1+'GA Results'!$F$8*1+'GA Results'!$F$9*1+'GA Results'!$F$10*1+'GA Results'!$F$11*1+'GA Results'!$F$12*1+'GA Results'!$F$13*1+'GA Results'!$F$14*1+'GA Results'!$F$15*1+'GA Results'!$F$16*1+'GA Results'!$F$17*1)&amp;" runs"</x:f>
        <x:v>480/480 runs</x:v>
      </x:c>
      <x:c r="D6" s="137" t="n">
        <x:f>AVERAGE($D$18:$D$33)</x:f>
        <x:v>0.6193868849999999</x:v>
      </x:c>
      <x:c r="E6" s="137" t="n">
        <x:f>MEDIAN($D$18:$D$33)</x:f>
        <x:v>0.6137986550000001</x:v>
      </x:c>
      <x:c r="F6" s="137" t="n">
        <x:f>AVERAGE($H$18:$H$33)</x:f>
        <x:v>0.58655395</x:v>
      </x:c>
      <x:c r="G6" s="137" t="n">
        <x:f>AVERAGE($K$18:$K$33)</x:f>
        <x:v>0.7847420643749999</x:v>
      </x:c>
      <x:c r="I6" s="140" t="str">
        <x:v>Ties</x:v>
      </x:c>
      <x:c r="J6" s="145" t="n">
        <x:f>COUNTIF($O$18:$O$33,"Tie")</x:f>
        <x:v>0</x:v>
      </x:c>
      <x:c r="L6" s="141" t="str">
        <x:v>Two-sided t critical</x:v>
      </x:c>
      <x:c r="M6" s="158" t="n">
        <x:v>2.131449546</x:v>
      </x:c>
    </x:row>
    <x:row r="7">
      <x:c r="I7" s="140" t="str">
        <x:v>LLM wins</x:v>
      </x:c>
      <x:c r="J7" s="145" t="n">
        <x:f>COUNTIF($O$18:$O$33,"LLM")</x:f>
        <x:v>0</x:v>
      </x:c>
    </x:row>
    <x:row r="8">
      <x:c r="A8" s="164" t="str">
        <x:v>Reproducibility Notes</x:v>
      </x:c>
      <x:c r="B8" s="164" t="str">
        <x:v>Reproducibility Notes</x:v>
      </x:c>
      <x:c r="C8" s="164" t="str">
        <x:v>Reproducibility Notes</x:v>
      </x:c>
      <x:c r="D8" s="164" t="str">
        <x:v>Reproducibility Notes</x:v>
      </x:c>
      <x:c r="E8" s="164" t="str">
        <x:v>Reproducibility Notes</x:v>
      </x:c>
      <x:c r="F8" s="164" t="str">
        <x:v>Reproducibility Notes</x:v>
      </x:c>
      <x:c r="G8" s="164" t="str">
        <x:v>Reproducibility Notes</x:v>
      </x:c>
      <x:c r="I8" s="140" t="str">
        <x:v>Mean AE gap (GA best − LLM)</x:v>
      </x:c>
      <x:c r="J8" s="150" t="n">
        <x:f>AVERAGE($E$18:$E$33)</x:f>
        <x:v>0.12407085217923283</x:v>
      </x:c>
      <x:c r="L8" s="164" t="str">
        <x:v>Brief interpretation</x:v>
      </x:c>
      <x:c r="M8" s="164" t="str">
        <x:v>Brief interpretation</x:v>
      </x:c>
      <x:c r="N8" s="164" t="str">
        <x:v>Brief interpretation</x:v>
      </x:c>
      <x:c r="O8" s="164" t="str">
        <x:v>Brief interpretation</x:v>
      </x:c>
      <x:c r="P8" s="164" t="str">
        <x:v>Brief interpretation</x:v>
      </x:c>
      <x:c r="Q8" s="164" t="str">
        <x:v>Brief interpretation</x:v>
      </x:c>
      <x:c r="R8" s="164" t="str">
        <x:v>Brief interpretation</x:v>
      </x:c>
    </x:row>
    <x:row r="9" ht="32" customHeight="1">
      <x:c r="A9" s="216" t="str">
        <x:v>Primary LLM quality results use response_1 only: the first complete and structurally valid response, selected before AE/AT/AC scoring and without consulting GA or historical teams.</x:v>
      </x:c>
      <x:c r="B9" s="216" t="str">
        <x:v>Primary LLM quality results use response_1 only: the first complete and structurally valid response, selected before AE/AT/AC scoring and without consulting GA or historical teams.</x:v>
      </x:c>
      <x:c r="C9" s="216" t="str">
        <x:v>Primary LLM quality results use response_1 only: the first complete and structurally valid response, selected before AE/AT/AC scoring and without consulting GA or historical teams.</x:v>
      </x:c>
      <x:c r="D9" s="216" t="str">
        <x:v>Primary LLM quality results use response_1 only: the first complete and structurally valid response, selected before AE/AT/AC scoring and without consulting GA or historical teams.</x:v>
      </x:c>
      <x:c r="E9" s="216" t="str">
        <x:v>Primary LLM quality results use response_1 only: the first complete and structurally valid response, selected before AE/AT/AC scoring and without consulting GA or historical teams.</x:v>
      </x:c>
      <x:c r="F9" s="216" t="str">
        <x:v>Primary LLM quality results use response_1 only: the first complete and structurally valid response, selected before AE/AT/AC scoring and without consulting GA or historical teams.</x:v>
      </x:c>
      <x:c r="G9" s="216" t="str">
        <x:v>Primary LLM quality results use response_1 only: the first complete and structurally valid response, selected before AE/AT/AC scoring and without consulting GA or historical teams.</x:v>
      </x:c>
      <x:c r="I9" s="140" t="str">
        <x:v>Median AE gap (GA best − LLM)</x:v>
      </x:c>
      <x:c r="J9" s="150" t="n">
        <x:f>MEDIAN($E$18:$E$33)</x:f>
        <x:v>0.09918320190476196</x:v>
      </x:c>
      <x:c r="L9" s="196" t="str">
        <x:f>"The calibrated GA best-of-30 achieved higher AE than the direct LLM for "&amp;J5&amp;" of "&amp;J4&amp;" projects. The mean project-level AE advantage was "&amp;TEXT(J8,"0.0000")&amp;" (95% CI "&amp;TEXT(J12,"0.0000")&amp;"–"&amp;TEXT(J13,"0.0000")&amp;"), corresponding to a mean relative gain of "&amp;TEXT(J10,"0.00%")&amp;". The exact one-sided sign test yielded p="&amp;TEXT(J14,"0.000000")&amp;". The largest mean difference was observed in AC, while AT was comparatively closer. These results compare the selected direct-LLM response_1 outputs with the best GA recommendation from 30 runs per project; they do not represent equal computational budgets."</x:f>
        <x:v>The calibrated GA best-of-30 achieved higher AE than the direct LLM for 16 of 16 projects. The mean project-level AE advantage was 0.1241 (95% CI 0.0802–0.1680), corresponding to a mean relative gain of 25.03%. The exact one-sided sign test yielded p=0.000015. The largest mean difference was observed in AC, while AT was comparatively closer. These results compare the selected direct-LLM response_1 outputs with the best GA recommendation from 30 runs per project; they do not represent equal computational budgets.</x:v>
      </x:c>
      <x:c r="M9" s="197"/>
      <x:c r="N9" s="197"/>
      <x:c r="O9" s="197"/>
      <x:c r="P9" s="197"/>
      <x:c r="Q9" s="197"/>
      <x:c r="R9" s="198"/>
    </x:row>
    <x:row r="10" ht="32" customHeight="1">
      <x:c r="A10" s="216" t="str">
        <x:v>The LLM source sheet reproduces every row and data value from avaliacoes_llm_surrogate.csv; only column labels were translated to English.</x:v>
      </x:c>
      <x:c r="B10" s="216" t="str">
        <x:v>The LLM source sheet reproduces every row and data value from avaliacoes_llm_surrogate.csv; only column labels were translated to English.</x:v>
      </x:c>
      <x:c r="C10" s="216" t="str">
        <x:v>The LLM source sheet reproduces every row and data value from avaliacoes_llm_surrogate.csv; only column labels were translated to English.</x:v>
      </x:c>
      <x:c r="D10" s="216" t="str">
        <x:v>The LLM source sheet reproduces every row and data value from avaliacoes_llm_surrogate.csv; only column labels were translated to English.</x:v>
      </x:c>
      <x:c r="E10" s="216" t="str">
        <x:v>The LLM source sheet reproduces every row and data value from avaliacoes_llm_surrogate.csv; only column labels were translated to English.</x:v>
      </x:c>
      <x:c r="F10" s="216" t="str">
        <x:v>The LLM source sheet reproduces every row and data value from avaliacoes_llm_surrogate.csv; only column labels were translated to English.</x:v>
      </x:c>
      <x:c r="G10" s="216" t="str">
        <x:v>The LLM source sheet reproduces every row and data value from avaliacoes_llm_surrogate.csv; only column labels were translated to English.</x:v>
      </x:c>
      <x:c r="I10" s="140" t="str">
        <x:v>Mean relative GA gain</x:v>
      </x:c>
      <x:c r="J10" s="152" t="n">
        <x:f>AVERAGE($F$18:$F$33)</x:f>
        <x:v>0.2502525418045117</x:v>
      </x:c>
      <x:c r="L10" s="199"/>
      <x:c r="M10" s="200"/>
      <x:c r="N10" s="200"/>
      <x:c r="O10" s="200"/>
      <x:c r="P10" s="200"/>
      <x:c r="Q10" s="200"/>
      <x:c r="R10" s="201"/>
    </x:row>
    <x:row r="11" ht="32" customHeight="1">
      <x:c r="A11" s="216" t="str">
        <x:v>The GA source sheet reproduces every row and data value from resultados_backtest_ga_2025_resumo.csv.txt; only column labels were translated to English.</x:v>
      </x:c>
      <x:c r="B11" s="216" t="str">
        <x:v>The GA source sheet reproduces every row and data value from resultados_backtest_ga_2025_resumo.csv.txt; only column labels were translated to English.</x:v>
      </x:c>
      <x:c r="C11" s="216" t="str">
        <x:v>The GA source sheet reproduces every row and data value from resultados_backtest_ga_2025_resumo.csv.txt; only column labels were translated to English.</x:v>
      </x:c>
      <x:c r="D11" s="216" t="str">
        <x:v>The GA source sheet reproduces every row and data value from resultados_backtest_ga_2025_resumo.csv.txt; only column labels were translated to English.</x:v>
      </x:c>
      <x:c r="E11" s="216" t="str">
        <x:v>The GA source sheet reproduces every row and data value from resultados_backtest_ga_2025_resumo.csv.txt; only column labels were translated to English.</x:v>
      </x:c>
      <x:c r="F11" s="216" t="str">
        <x:v>The GA source sheet reproduces every row and data value from resultados_backtest_ga_2025_resumo.csv.txt; only column labels were translated to English.</x:v>
      </x:c>
      <x:c r="G11" s="216" t="str">
        <x:v>The GA source sheet reproduces every row and data value from resultados_backtest_ga_2025_resumo.csv.txt; only column labels were translated to English.</x:v>
      </x:c>
      <x:c r="I11" s="140" t="str">
        <x:v>Median relative GA gain</x:v>
      </x:c>
      <x:c r="J11" s="152" t="n">
        <x:f>MEDIAN($F$18:$F$33)</x:f>
        <x:v>0.20881225837268635</x:v>
      </x:c>
      <x:c r="L11" s="199"/>
      <x:c r="M11" s="200"/>
      <x:c r="N11" s="200"/>
      <x:c r="O11" s="200"/>
      <x:c r="P11" s="200"/>
      <x:c r="Q11" s="200"/>
      <x:c r="R11" s="201"/>
    </x:row>
    <x:row r="12" ht="32" customHeight="1">
      <x:c r="A12" s="216" t="str">
        <x:v>Best-of-30 is the primary operational comparison. GA mean-run is reported as a robustness check. The project (n=16), not the 480 GA runs, is the paired analysis unit.</x:v>
      </x:c>
      <x:c r="B12" s="216" t="str">
        <x:v>Best-of-30 is the primary operational comparison. GA mean-run is reported as a robustness check. The project (n=16), not the 480 GA runs, is the paired analysis unit.</x:v>
      </x:c>
      <x:c r="C12" s="216" t="str">
        <x:v>Best-of-30 is the primary operational comparison. GA mean-run is reported as a robustness check. The project (n=16), not the 480 GA runs, is the paired analysis unit.</x:v>
      </x:c>
      <x:c r="D12" s="216" t="str">
        <x:v>Best-of-30 is the primary operational comparison. GA mean-run is reported as a robustness check. The project (n=16), not the 480 GA runs, is the paired analysis unit.</x:v>
      </x:c>
      <x:c r="E12" s="216" t="str">
        <x:v>Best-of-30 is the primary operational comparison. GA mean-run is reported as a robustness check. The project (n=16), not the 480 GA runs, is the paired analysis unit.</x:v>
      </x:c>
      <x:c r="F12" s="216" t="str">
        <x:v>Best-of-30 is the primary operational comparison. GA mean-run is reported as a robustness check. The project (n=16), not the 480 GA runs, is the paired analysis unit.</x:v>
      </x:c>
      <x:c r="G12" s="216" t="str">
        <x:v>Best-of-30 is the primary operational comparison. GA mean-run is reported as a robustness check. The project (n=16), not the 480 GA runs, is the paired analysis unit.</x:v>
      </x:c>
      <x:c r="I12" s="140" t="str">
        <x:v>95% CI lower bound — mean AE gap</x:v>
      </x:c>
      <x:c r="J12" s="150" t="n">
        <x:f>AVERAGE($E$18:$E$33)-$M$6*STDEV($E$18:$E$33)/SQRT(COUNT($E$18:$E$33))</x:f>
        <x:v>0.08015581424189894</x:v>
      </x:c>
      <x:c r="L12" s="202"/>
      <x:c r="M12" s="203"/>
      <x:c r="N12" s="203"/>
      <x:c r="O12" s="203"/>
      <x:c r="P12" s="203"/>
      <x:c r="Q12" s="203"/>
      <x:c r="R12" s="204"/>
    </x:row>
    <x:row r="13" ht="32" customHeight="1">
      <x:c r="A13" s="216" t="str">
        <x:v>The exact sign-test formula is valid here because all non-tied project comparisons favor the GA; the p-value equals 0.5 raised to the number of non-tied projects.</x:v>
      </x:c>
      <x:c r="B13" s="216" t="str">
        <x:v>The exact sign-test formula is valid here because all non-tied project comparisons favor the GA; the p-value equals 0.5 raised to the number of non-tied projects.</x:v>
      </x:c>
      <x:c r="C13" s="216" t="str">
        <x:v>The exact sign-test formula is valid here because all non-tied project comparisons favor the GA; the p-value equals 0.5 raised to the number of non-tied projects.</x:v>
      </x:c>
      <x:c r="D13" s="216" t="str">
        <x:v>The exact sign-test formula is valid here because all non-tied project comparisons favor the GA; the p-value equals 0.5 raised to the number of non-tied projects.</x:v>
      </x:c>
      <x:c r="E13" s="216" t="str">
        <x:v>The exact sign-test formula is valid here because all non-tied project comparisons favor the GA; the p-value equals 0.5 raised to the number of non-tied projects.</x:v>
      </x:c>
      <x:c r="F13" s="216" t="str">
        <x:v>The exact sign-test formula is valid here because all non-tied project comparisons favor the GA; the p-value equals 0.5 raised to the number of non-tied projects.</x:v>
      </x:c>
      <x:c r="G13" s="216" t="str">
        <x:v>The exact sign-test formula is valid here because all non-tied project comparisons favor the GA; the p-value equals 0.5 raised to the number of non-tied projects.</x:v>
      </x:c>
      <x:c r="I13" s="140" t="str">
        <x:v>95% CI upper bound — mean AE gap</x:v>
      </x:c>
      <x:c r="J13" s="150" t="n">
        <x:f>AVERAGE($E$18:$E$33)+$M$6*STDEV($E$18:$E$33)/SQRT(COUNT($E$18:$E$33))</x:f>
        <x:v>0.16798589011656673</x:v>
      </x:c>
    </x:row>
    <x:row r="14">
      <x:c r="I14" s="141" t="str">
        <x:v>Exact one-sided sign-test p-value</x:v>
      </x:c>
      <x:c r="J14" s="154" t="n">
        <x:f>POWER(0.5,J5+J7)</x:f>
        <x:v>0.0000152587890625</x:v>
      </x:c>
    </x:row>
    <x:row r="17" ht="34" customHeight="1">
      <x:c r="A17" s="12" t="str">
        <x:v>Project</x:v>
      </x:c>
      <x:c r="B17" s="12" t="str">
        <x:v>Team Size</x:v>
      </x:c>
      <x:c r="C17" s="12" t="str">
        <x:v>LLM AE</x:v>
      </x:c>
      <x:c r="D17" s="12" t="str">
        <x:v>GA Best AE</x:v>
      </x:c>
      <x:c r="E17" s="12" t="str">
        <x:v>AE Gap</x:v>
      </x:c>
      <x:c r="F17" s="12" t="str">
        <x:v>Relative GA Gain</x:v>
      </x:c>
      <x:c r="G17" s="12" t="str">
        <x:v>LLM AT</x:v>
      </x:c>
      <x:c r="H17" s="12" t="str">
        <x:v>GA Best AT</x:v>
      </x:c>
      <x:c r="I17" s="12" t="str">
        <x:v>AT Gap</x:v>
      </x:c>
      <x:c r="J17" s="12" t="str">
        <x:v>LLM AC</x:v>
      </x:c>
      <x:c r="K17" s="12" t="str">
        <x:v>GA Best AC</x:v>
      </x:c>
      <x:c r="L17" s="12" t="str">
        <x:v>AC Gap</x:v>
      </x:c>
      <x:c r="M17" s="12" t="str">
        <x:v>GA Mean AE</x:v>
      </x:c>
      <x:c r="N17" s="12" t="str">
        <x:v>Gap vs GA Mean</x:v>
      </x:c>
      <x:c r="O17" s="12" t="str">
        <x:v>Winner</x:v>
      </x:c>
      <x:c r="P17" s="12" t="str">
        <x:v>LLM Team</x:v>
      </x:c>
      <x:c r="Q17" s="12" t="str">
        <x:v>GA Best Team</x:v>
      </x:c>
      <x:c r="R17" s="12" t="str">
        <x:v>LLM Valid Output</x:v>
      </x:c>
    </x:row>
    <x:row r="18" ht="32" customHeight="1">
      <x:c r="A18" s="264" t="str">
        <x:v>P1</x:v>
      </x:c>
      <x:c r="B18" s="264" t="n">
        <x:f>INDEX('LLM Results'!$L$2:$L$17,MATCH($A18,'LLM Results'!$H$2:$H$17,0))</x:f>
        <x:v>9</x:v>
      </x:c>
      <x:c r="C18" s="265" t="n">
        <x:f>INDEX('LLM Results'!$U$2:$U$17,MATCH($A18,'LLM Results'!$H$2:$H$17,0))</x:f>
        <x:v>0.4424603888888889</x:v>
      </x:c>
      <x:c r="D18" s="265" t="n">
        <x:f>INDEX('GA Results'!$I$2:$I$17,MATCH($A18,'GA Results'!$A$2:$A$17,0))</x:f>
        <x:v>0.61137602</x:v>
      </x:c>
      <x:c r="E18" s="265" t="n">
        <x:f>D18-C18</x:f>
        <x:v>0.16891563111111113</x:v>
      </x:c>
      <x:c r="F18" s="266" t="n">
        <x:f>IFERROR((D18-C18)/C18,"")</x:f>
        <x:v>0.38176441406493766</x:v>
      </x:c>
      <x:c r="G18" s="265" t="n">
        <x:f>INDEX('LLM Results'!$S$2:$S$17,MATCH($A18,'LLM Results'!$H$2:$H$17,0))</x:f>
        <x:v>0.571429</x:v>
      </x:c>
      <x:c r="H18" s="265" t="n">
        <x:f>INDEX('GA Results'!$J$2:$J$17,MATCH($A18,'GA Results'!$A$2:$A$17,0))</x:f>
        <x:v>0.571429</x:v>
      </x:c>
      <x:c r="I18" s="265" t="n">
        <x:f>H18-G18</x:f>
        <x:v>0</x:v>
      </x:c>
      <x:c r="J18" s="265" t="n">
        <x:f>INDEX('LLM Results'!$T$2:$T$17,MATCH($A18,'LLM Results'!$H$2:$H$17,0))</x:f>
        <x:v>0.4166666666666667</x:v>
      </x:c>
      <x:c r="K18" s="265" t="n">
        <x:f>INDEX('GA Results'!$K$2:$K$17,MATCH($A18,'GA Results'!$A$2:$A$17,0))</x:f>
        <x:v>0.81111111</x:v>
      </x:c>
      <x:c r="L18" s="265" t="n">
        <x:f>K18-J18</x:f>
        <x:v>0.39444444333333334</x:v>
      </x:c>
      <x:c r="M18" s="265" t="n">
        <x:f>INDEX('GA Results'!$Q$2:$Q$17,MATCH($A18,'GA Results'!$A$2:$A$17,0))</x:f>
        <x:v>0.6034073</x:v>
      </x:c>
      <x:c r="N18" s="265" t="n">
        <x:f>M18-C18</x:f>
        <x:v>0.1609469111111111</x:v>
      </x:c>
      <x:c r="O18" s="267" t="str">
        <x:f>IF(D18&gt;C18,"GA",IF(D18&lt;C18,"LLM","Tie"))</x:f>
        <x:v>GA</x:v>
      </x:c>
      <x:c r="P18" s="268" t="str">
        <x:f>INDEX('LLM Results'!$P$2:$P$17,MATCH($A18,'LLM Results'!$H$2:$H$17,0))</x:f>
        <x:v>178,655,636,447,27,482,578,303,435</x:v>
      </x:c>
      <x:c r="Q18" s="268" t="str">
        <x:f>INDEX('GA Results'!$L$2:$L$17,MATCH($A18,'GA Results'!$A$2:$A$17,0))</x:f>
        <x:v>[324, 359, 448, 305, 170, 543, 503, 578, 220]</x:v>
      </x:c>
      <x:c r="R18" s="264" t="str">
        <x:f>IF(AND(INDEX('LLM Results'!$K$2:$K$17,MATCH($A18,'LLM Results'!$H$2:$H$17,0))="OK",INDEX('LLM Results'!$N$2:$N$17,MATCH($A18,'LLM Results'!$H$2:$H$17,0))="True",INDEX('LLM Results'!$AD$2:$AD$17,MATCH($A18,'LLM Results'!$H$2:$H$17,0))="True"),"Yes","No")</x:f>
        <x:v>Yes</x:v>
      </x:c>
    </x:row>
    <x:row r="19" ht="32" customHeight="1">
      <x:c r="A19" s="269" t="str">
        <x:v>P2</x:v>
      </x:c>
      <x:c r="B19" s="269" t="n">
        <x:f>INDEX('LLM Results'!$L$2:$L$17,MATCH($A19,'LLM Results'!$H$2:$H$17,0))</x:f>
        <x:v>8</x:v>
      </x:c>
      <x:c r="C19" s="270" t="n">
        <x:f>INDEX('LLM Results'!$U$2:$U$17,MATCH($A19,'LLM Results'!$H$2:$H$17,0))</x:f>
        <x:v>0.404762</x:v>
      </x:c>
      <x:c r="D19" s="270" t="n">
        <x:f>INDEX('GA Results'!$I$2:$I$17,MATCH($A19,'GA Results'!$A$2:$A$17,0))</x:f>
        <x:v>0.51666909</x:v>
      </x:c>
      <x:c r="E19" s="270" t="n">
        <x:f>D19-C19</x:f>
        <x:v>0.11190709000000004</x:v>
      </x:c>
      <x:c r="F19" s="271" t="n">
        <x:f>IFERROR((D19-C19)/C19,"")</x:f>
        <x:v>0.2764762749467589</x:v>
      </x:c>
      <x:c r="G19" s="270" t="n">
        <x:f>INDEX('LLM Results'!$S$2:$S$17,MATCH($A19,'LLM Results'!$H$2:$H$17,0))</x:f>
        <x:v>0.42857200000000006</x:v>
      </x:c>
      <x:c r="H19" s="270" t="n">
        <x:f>INDEX('GA Results'!$J$2:$J$17,MATCH($A19,'GA Results'!$A$2:$A$17,0))</x:f>
        <x:v>0.5000029</x:v>
      </x:c>
      <x:c r="I19" s="270" t="n">
        <x:f>H19-G19</x:f>
        <x:v>0.07143089999999996</x:v>
      </x:c>
      <x:c r="J19" s="270" t="n">
        <x:f>INDEX('LLM Results'!$T$2:$T$17,MATCH($A19,'LLM Results'!$H$2:$H$17,0))</x:f>
        <x:v>0.39999999999999997</x:v>
      </x:c>
      <x:c r="K19" s="270" t="n">
        <x:f>INDEX('GA Results'!$K$2:$K$17,MATCH($A19,'GA Results'!$A$2:$A$17,0))</x:f>
        <x:v>0.6</x:v>
      </x:c>
      <x:c r="L19" s="270" t="n">
        <x:f>K19-J19</x:f>
        <x:v>0.2</x:v>
      </x:c>
      <x:c r="M19" s="270" t="n">
        <x:f>INDEX('GA Results'!$Q$2:$Q$17,MATCH($A19,'GA Results'!$A$2:$A$17,0))</x:f>
        <x:v>0.49594424</x:v>
      </x:c>
      <x:c r="N19" s="270" t="n">
        <x:f>M19-C19</x:f>
        <x:v>0.09118223999999997</x:v>
      </x:c>
      <x:c r="O19" s="272" t="str">
        <x:f>IF(D19&gt;C19,"GA",IF(D19&lt;C19,"LLM","Tie"))</x:f>
        <x:v>GA</x:v>
      </x:c>
      <x:c r="P19" s="273" t="str">
        <x:f>INDEX('LLM Results'!$P$2:$P$17,MATCH($A19,'LLM Results'!$H$2:$H$17,0))</x:f>
        <x:v>169,479,177,354,676,545,525,165</x:v>
      </x:c>
      <x:c r="Q19" s="273" t="str">
        <x:f>INDEX('GA Results'!$L$2:$L$17,MATCH($A19,'GA Results'!$A$2:$A$17,0))</x:f>
        <x:v>[7, 290, 484, 33, 94, 560, 447, 397]</x:v>
      </x:c>
      <x:c r="R19" s="269" t="str">
        <x:f>IF(AND(INDEX('LLM Results'!$K$2:$K$17,MATCH($A19,'LLM Results'!$H$2:$H$17,0))="OK",INDEX('LLM Results'!$N$2:$N$17,MATCH($A19,'LLM Results'!$H$2:$H$17,0))="True",INDEX('LLM Results'!$AD$2:$AD$17,MATCH($A19,'LLM Results'!$H$2:$H$17,0))="True"),"Yes","No")</x:f>
        <x:v>Yes</x:v>
      </x:c>
    </x:row>
    <x:row r="20" ht="32" customHeight="1">
      <x:c r="A20" s="269" t="str">
        <x:v>P3</x:v>
      </x:c>
      <x:c r="B20" s="269" t="n">
        <x:f>INDEX('LLM Results'!$L$2:$L$17,MATCH($A20,'LLM Results'!$H$2:$H$17,0))</x:f>
        <x:v>5</x:v>
      </x:c>
      <x:c r="C20" s="270" t="n">
        <x:f>INDEX('LLM Results'!$U$2:$U$17,MATCH($A20,'LLM Results'!$H$2:$H$17,0))</x:f>
        <x:v>0.6192066666666666</x:v>
      </x:c>
      <x:c r="D20" s="270" t="n">
        <x:f>INDEX('GA Results'!$I$2:$I$17,MATCH($A20,'GA Results'!$A$2:$A$17,0))</x:f>
        <x:v>0.68216956</x:v>
      </x:c>
      <x:c r="E20" s="270" t="n">
        <x:f>D20-C20</x:f>
        <x:v>0.06296289333333338</x:v>
      </x:c>
      <x:c r="F20" s="271" t="n">
        <x:f>IFERROR((D20-C20)/C20,"")</x:f>
        <x:v>0.10168316447928002</x:v>
      </x:c>
      <x:c r="G20" s="270" t="n">
        <x:f>INDEX('LLM Results'!$S$2:$S$17,MATCH($A20,'LLM Results'!$H$2:$H$17,0))</x:f>
        <x:v>0.6190479999999999</x:v>
      </x:c>
      <x:c r="H20" s="270" t="n">
        <x:f>INDEX('GA Results'!$J$2:$J$17,MATCH($A20,'GA Results'!$A$2:$A$17,0))</x:f>
        <x:v>0.67460348</x:v>
      </x:c>
      <x:c r="I20" s="270" t="n">
        <x:f>H20-G20</x:f>
        <x:v>0.0555554800000001</x:v>
      </x:c>
      <x:c r="J20" s="270" t="n">
        <x:f>INDEX('LLM Results'!$T$2:$T$17,MATCH($A20,'LLM Results'!$H$2:$H$17,0))</x:f>
        <x:v>0.62</x:v>
      </x:c>
      <x:c r="K20" s="270" t="n">
        <x:f>INDEX('GA Results'!$K$2:$K$17,MATCH($A20,'GA Results'!$A$2:$A$17,0))</x:f>
        <x:v>0.72</x:v>
      </x:c>
      <x:c r="L20" s="270" t="n">
        <x:f>K20-J20</x:f>
        <x:v>0.09999999999999998</x:v>
      </x:c>
      <x:c r="M20" s="270" t="n">
        <x:f>INDEX('GA Results'!$Q$2:$Q$17,MATCH($A20,'GA Results'!$A$2:$A$17,0))</x:f>
        <x:v>0.65565473</x:v>
      </x:c>
      <x:c r="N20" s="270" t="n">
        <x:f>M20-C20</x:f>
        <x:v>0.03644806333333339</x:v>
      </x:c>
      <x:c r="O20" s="272" t="str">
        <x:f>IF(D20&gt;C20,"GA",IF(D20&lt;C20,"LLM","Tie"))</x:f>
        <x:v>GA</x:v>
      </x:c>
      <x:c r="P20" s="273" t="str">
        <x:f>INDEX('LLM Results'!$P$2:$P$17,MATCH($A20,'LLM Results'!$H$2:$H$17,0))</x:f>
        <x:v>538,351,473,154,181</x:v>
      </x:c>
      <x:c r="Q20" s="273" t="str">
        <x:f>INDEX('GA Results'!$L$2:$L$17,MATCH($A20,'GA Results'!$A$2:$A$17,0))</x:f>
        <x:v>[415, 370, 282, 336, 211]</x:v>
      </x:c>
      <x:c r="R20" s="269" t="str">
        <x:f>IF(AND(INDEX('LLM Results'!$K$2:$K$17,MATCH($A20,'LLM Results'!$H$2:$H$17,0))="OK",INDEX('LLM Results'!$N$2:$N$17,MATCH($A20,'LLM Results'!$H$2:$H$17,0))="True",INDEX('LLM Results'!$AD$2:$AD$17,MATCH($A20,'LLM Results'!$H$2:$H$17,0))="True"),"Yes","No")</x:f>
        <x:v>Yes</x:v>
      </x:c>
    </x:row>
    <x:row r="21" ht="32" customHeight="1">
      <x:c r="A21" s="269" t="str">
        <x:v>P4</x:v>
      </x:c>
      <x:c r="B21" s="269" t="n">
        <x:f>INDEX('LLM Results'!$L$2:$L$17,MATCH($A21,'LLM Results'!$H$2:$H$17,0))</x:f>
        <x:v>9</x:v>
      </x:c>
      <x:c r="C21" s="270" t="n">
        <x:f>INDEX('LLM Results'!$U$2:$U$17,MATCH($A21,'LLM Results'!$H$2:$H$17,0))</x:f>
        <x:v>0.4689154074074074</x:v>
      </x:c>
      <x:c r="D21" s="270" t="n">
        <x:f>INDEX('GA Results'!$I$2:$I$17,MATCH($A21,'GA Results'!$A$2:$A$17,0))</x:f>
        <x:v>0.65057902</x:v>
      </x:c>
      <x:c r="E21" s="270" t="n">
        <x:f>D21-C21</x:f>
        <x:v>0.18166361259259262</x:v>
      </x:c>
      <x:c r="F21" s="271" t="n">
        <x:f>IFERROR((D21-C21)/C21,"")</x:f>
        <x:v>0.38741233434191247</x:v>
      </x:c>
      <x:c r="G21" s="270" t="n">
        <x:f>INDEX('LLM Results'!$S$2:$S$17,MATCH($A21,'LLM Results'!$H$2:$H$17,0))</x:f>
        <x:v>0.6190479999999999</x:v>
      </x:c>
      <x:c r="H21" s="270" t="n">
        <x:f>INDEX('GA Results'!$J$2:$J$17,MATCH($A21,'GA Results'!$A$2:$A$17,0))</x:f>
        <x:v>0.61736149</x:v>
      </x:c>
      <x:c r="I21" s="270" t="n">
        <x:f>H21-G21</x:f>
        <x:v>-0.0016865099999999744</x:v>
      </x:c>
      <x:c r="J21" s="270" t="n">
        <x:f>INDEX('LLM Results'!$T$2:$T$17,MATCH($A21,'LLM Results'!$H$2:$H$17,0))</x:f>
        <x:v>0.4388888888888889</x:v>
      </x:c>
      <x:c r="K21" s="270" t="n">
        <x:f>INDEX('GA Results'!$K$2:$K$17,MATCH($A21,'GA Results'!$A$2:$A$17,0))</x:f>
        <x:v>0.81666667</x:v>
      </x:c>
      <x:c r="L21" s="270" t="n">
        <x:f>K21-J21</x:f>
        <x:v>0.37777778111111115</x:v>
      </x:c>
      <x:c r="M21" s="270" t="n">
        <x:f>INDEX('GA Results'!$Q$2:$Q$17,MATCH($A21,'GA Results'!$A$2:$A$17,0))</x:f>
        <x:v>0.64395158</x:v>
      </x:c>
      <x:c r="N21" s="270" t="n">
        <x:f>M21-C21</x:f>
        <x:v>0.17503617259259258</x:v>
      </x:c>
      <x:c r="O21" s="272" t="str">
        <x:f>IF(D21&gt;C21,"GA",IF(D21&lt;C21,"LLM","Tie"))</x:f>
        <x:v>GA</x:v>
      </x:c>
      <x:c r="P21" s="273" t="str">
        <x:f>INDEX('LLM Results'!$P$2:$P$17,MATCH($A21,'LLM Results'!$H$2:$H$17,0))</x:f>
        <x:v>183,559,27,363,500,326,516,354,551</x:v>
      </x:c>
      <x:c r="Q21" s="273" t="str">
        <x:f>INDEX('GA Results'!$L$2:$L$17,MATCH($A21,'GA Results'!$A$2:$A$17,0))</x:f>
        <x:v>[492, 257, 496, 94, 382, 477, 27, 500, 615]</x:v>
      </x:c>
      <x:c r="R21" s="269" t="str">
        <x:f>IF(AND(INDEX('LLM Results'!$K$2:$K$17,MATCH($A21,'LLM Results'!$H$2:$H$17,0))="OK",INDEX('LLM Results'!$N$2:$N$17,MATCH($A21,'LLM Results'!$H$2:$H$17,0))="True",INDEX('LLM Results'!$AD$2:$AD$17,MATCH($A21,'LLM Results'!$H$2:$H$17,0))="True"),"Yes","No")</x:f>
        <x:v>Yes</x:v>
      </x:c>
    </x:row>
    <x:row r="22" ht="32" customHeight="1">
      <x:c r="A22" s="269" t="str">
        <x:v>P5</x:v>
      </x:c>
      <x:c r="B22" s="269" t="n">
        <x:f>INDEX('LLM Results'!$L$2:$L$17,MATCH($A22,'LLM Results'!$H$2:$H$17,0))</x:f>
        <x:v>4</x:v>
      </x:c>
      <x:c r="C22" s="270" t="n">
        <x:f>INDEX('LLM Results'!$U$2:$U$17,MATCH($A22,'LLM Results'!$H$2:$H$17,0))</x:f>
        <x:v>0.5928575</x:v>
      </x:c>
      <x:c r="D22" s="270" t="n">
        <x:f>INDEX('GA Results'!$I$2:$I$17,MATCH($A22,'GA Results'!$A$2:$A$17,0))</x:f>
        <x:v>0.63650827</x:v>
      </x:c>
      <x:c r="E22" s="270" t="n">
        <x:f>D22-C22</x:f>
        <x:v>0.04365076999999995</x:v>
      </x:c>
      <x:c r="F22" s="271" t="n">
        <x:f>IFERROR((D22-C22)/C22,"")</x:f>
        <x:v>0.07362776046520444</x:v>
      </x:c>
      <x:c r="G22" s="270" t="n">
        <x:f>INDEX('LLM Results'!$S$2:$S$17,MATCH($A22,'LLM Results'!$H$2:$H$17,0))</x:f>
        <x:v>0.571429</x:v>
      </x:c>
      <x:c r="H22" s="270" t="n">
        <x:f>INDEX('GA Results'!$J$2:$J$17,MATCH($A22,'GA Results'!$A$2:$A$17,0))</x:f>
        <x:v>0.59047659</x:v>
      </x:c>
      <x:c r="I22" s="270" t="n">
        <x:f>H22-G22</x:f>
        <x:v>0.019047590000000003</x:v>
      </x:c>
      <x:c r="J22" s="270" t="n">
        <x:f>INDEX('LLM Results'!$T$2:$T$17,MATCH($A22,'LLM Results'!$H$2:$H$17,0))</x:f>
        <x:v>0.7</x:v>
      </x:c>
      <x:c r="K22" s="270" t="n">
        <x:f>INDEX('GA Results'!$K$2:$K$17,MATCH($A22,'GA Results'!$A$2:$A$17,0))</x:f>
        <x:v>0.86666667</x:v>
      </x:c>
      <x:c r="L22" s="270" t="n">
        <x:f>K22-J22</x:f>
        <x:v>0.16666667000000002</x:v>
      </x:c>
      <x:c r="M22" s="270" t="n">
        <x:f>INDEX('GA Results'!$Q$2:$Q$17,MATCH($A22,'GA Results'!$A$2:$A$17,0))</x:f>
        <x:v>0.62233761</x:v>
      </x:c>
      <x:c r="N22" s="270" t="n">
        <x:f>M22-C22</x:f>
        <x:v>0.02948010999999995</x:v>
      </x:c>
      <x:c r="O22" s="272" t="str">
        <x:f>IF(D22&gt;C22,"GA",IF(D22&lt;C22,"LLM","Tie"))</x:f>
        <x:v>GA</x:v>
      </x:c>
      <x:c r="P22" s="273" t="str">
        <x:f>INDEX('LLM Results'!$P$2:$P$17,MATCH($A22,'LLM Results'!$H$2:$H$17,0))</x:f>
        <x:v>145,214,81,370</x:v>
      </x:c>
      <x:c r="Q22" s="273" t="str">
        <x:f>INDEX('GA Results'!$L$2:$L$17,MATCH($A22,'GA Results'!$A$2:$A$17,0))</x:f>
        <x:v>[467, 415, 398, 316]</x:v>
      </x:c>
      <x:c r="R22" s="269" t="str">
        <x:f>IF(AND(INDEX('LLM Results'!$K$2:$K$17,MATCH($A22,'LLM Results'!$H$2:$H$17,0))="OK",INDEX('LLM Results'!$N$2:$N$17,MATCH($A22,'LLM Results'!$H$2:$H$17,0))="True",INDEX('LLM Results'!$AD$2:$AD$17,MATCH($A22,'LLM Results'!$H$2:$H$17,0))="True"),"Yes","No")</x:f>
        <x:v>Yes</x:v>
      </x:c>
    </x:row>
    <x:row r="23" ht="32" customHeight="1">
      <x:c r="A23" s="269" t="str">
        <x:v>P6</x:v>
      </x:c>
      <x:c r="B23" s="269" t="n">
        <x:f>INDEX('LLM Results'!$L$2:$L$17,MATCH($A23,'LLM Results'!$H$2:$H$17,0))</x:f>
        <x:v>7</x:v>
      </x:c>
      <x:c r="C23" s="270" t="n">
        <x:f>INDEX('LLM Results'!$U$2:$U$17,MATCH($A23,'LLM Results'!$H$2:$H$17,0))</x:f>
        <x:v>0.486508373015873</x:v>
      </x:c>
      <x:c r="D23" s="270" t="n">
        <x:f>INDEX('GA Results'!$I$2:$I$17,MATCH($A23,'GA Results'!$A$2:$A$17,0))</x:f>
        <x:v>0.53932621</x:v>
      </x:c>
      <x:c r="E23" s="270" t="n">
        <x:f>D23-C23</x:f>
        <x:v>0.05281783698412701</x:v>
      </x:c>
      <x:c r="F23" s="271" t="n">
        <x:f>IFERROR((D23-C23)/C23,"")</x:f>
        <x:v>0.10856511401172483</x:v>
      </x:c>
      <x:c r="G23" s="270" t="n">
        <x:f>INDEX('LLM Results'!$S$2:$S$17,MATCH($A23,'LLM Results'!$H$2:$H$17,0))</x:f>
        <x:v>0.47619100000000003</x:v>
      </x:c>
      <x:c r="H23" s="270" t="n">
        <x:f>INDEX('GA Results'!$J$2:$J$17,MATCH($A23,'GA Results'!$A$2:$A$17,0))</x:f>
        <x:v>0.48814383</x:v>
      </x:c>
      <x:c r="I23" s="270" t="n">
        <x:f>H23-G23</x:f>
        <x:v>0.01195282999999997</x:v>
      </x:c>
      <x:c r="J23" s="270" t="n">
        <x:f>INDEX('LLM Results'!$T$2:$T$17,MATCH($A23,'LLM Results'!$H$2:$H$17,0))</x:f>
        <x:v>0.538095238095238</x:v>
      </x:c>
      <x:c r="K23" s="270" t="n">
        <x:f>INDEX('GA Results'!$K$2:$K$17,MATCH($A23,'GA Results'!$A$2:$A$17,0))</x:f>
        <x:v>0.7952381</x:v>
      </x:c>
      <x:c r="L23" s="270" t="n">
        <x:f>K23-J23</x:f>
        <x:v>0.257142861904762</x:v>
      </x:c>
      <x:c r="M23" s="270" t="n">
        <x:f>INDEX('GA Results'!$Q$2:$Q$17,MATCH($A23,'GA Results'!$A$2:$A$17,0))</x:f>
        <x:v>0.53264846</x:v>
      </x:c>
      <x:c r="N23" s="270" t="n">
        <x:f>M23-C23</x:f>
        <x:v>0.04614008698412697</x:v>
      </x:c>
      <x:c r="O23" s="272" t="str">
        <x:f>IF(D23&gt;C23,"GA",IF(D23&lt;C23,"LLM","Tie"))</x:f>
        <x:v>GA</x:v>
      </x:c>
      <x:c r="P23" s="273" t="str">
        <x:f>INDEX('LLM Results'!$P$2:$P$17,MATCH($A23,'LLM Results'!$H$2:$H$17,0))</x:f>
        <x:v>490,311,494,174,480,538,637</x:v>
      </x:c>
      <x:c r="Q23" s="273" t="str">
        <x:f>INDEX('GA Results'!$L$2:$L$17,MATCH($A23,'GA Results'!$A$2:$A$17,0))</x:f>
        <x:v>[382, 94, 402, 183, 290, 363, 484]</x:v>
      </x:c>
      <x:c r="R23" s="269" t="str">
        <x:f>IF(AND(INDEX('LLM Results'!$K$2:$K$17,MATCH($A23,'LLM Results'!$H$2:$H$17,0))="OK",INDEX('LLM Results'!$N$2:$N$17,MATCH($A23,'LLM Results'!$H$2:$H$17,0))="True",INDEX('LLM Results'!$AD$2:$AD$17,MATCH($A23,'LLM Results'!$H$2:$H$17,0))="True"),"Yes","No")</x:f>
        <x:v>Yes</x:v>
      </x:c>
    </x:row>
    <x:row r="24" ht="32" customHeight="1">
      <x:c r="A24" s="269" t="str">
        <x:v>P7</x:v>
      </x:c>
      <x:c r="B24" s="269" t="n">
        <x:f>INDEX('LLM Results'!$L$2:$L$17,MATCH($A24,'LLM Results'!$H$2:$H$17,0))</x:f>
        <x:v>5</x:v>
      </x:c>
      <x:c r="C24" s="270" t="n">
        <x:f>INDEX('LLM Results'!$U$2:$U$17,MATCH($A24,'LLM Results'!$H$2:$H$17,0))</x:f>
        <x:v>0.5119048333333334</x:v>
      </x:c>
      <x:c r="D24" s="270" t="n">
        <x:f>INDEX('GA Results'!$I$2:$I$17,MATCH($A24,'GA Results'!$A$2:$A$17,0))</x:f>
        <x:v>0.63262637</x:v>
      </x:c>
      <x:c r="E24" s="270" t="n">
        <x:f>D24-C24</x:f>
        <x:v>0.12072153666666663</x:v>
      </x:c>
      <x:c r="F24" s="271" t="n">
        <x:f>IFERROR((D24-C24)/C24,"")</x:f>
        <x:v>0.23582808523329035</x:v>
      </x:c>
      <x:c r="G24" s="270" t="n">
        <x:f>INDEX('LLM Results'!$S$2:$S$17,MATCH($A24,'LLM Results'!$H$2:$H$17,0))</x:f>
        <x:v>0.571429</x:v>
      </x:c>
      <x:c r="H24" s="270" t="n">
        <x:f>INDEX('GA Results'!$J$2:$J$17,MATCH($A24,'GA Results'!$A$2:$A$17,0))</x:f>
        <x:v>0.58715165</x:v>
      </x:c>
      <x:c r="I24" s="270" t="n">
        <x:f>H24-G24</x:f>
        <x:v>0.01572265000000006</x:v>
      </x:c>
      <x:c r="J24" s="270" t="n">
        <x:f>INDEX('LLM Results'!$T$2:$T$17,MATCH($A24,'LLM Results'!$H$2:$H$17,0))</x:f>
        <x:v>0.5</x:v>
      </x:c>
      <x:c r="K24" s="270" t="n">
        <x:f>INDEX('GA Results'!$K$2:$K$17,MATCH($A24,'GA Results'!$A$2:$A$17,0))</x:f>
        <x:v>0.86</x:v>
      </x:c>
      <x:c r="L24" s="270" t="n">
        <x:f>K24-J24</x:f>
        <x:v>0.36</x:v>
      </x:c>
      <x:c r="M24" s="270" t="n">
        <x:f>INDEX('GA Results'!$Q$2:$Q$17,MATCH($A24,'GA Results'!$A$2:$A$17,0))</x:f>
        <x:v>0.61627523</x:v>
      </x:c>
      <x:c r="N24" s="270" t="n">
        <x:f>M24-C24</x:f>
        <x:v>0.10437039666666659</x:v>
      </x:c>
      <x:c r="O24" s="272" t="str">
        <x:f>IF(D24&gt;C24,"GA",IF(D24&lt;C24,"LLM","Tie"))</x:f>
        <x:v>GA</x:v>
      </x:c>
      <x:c r="P24" s="273" t="str">
        <x:f>INDEX('LLM Results'!$P$2:$P$17,MATCH($A24,'LLM Results'!$H$2:$H$17,0))</x:f>
        <x:v>354,326,27,525,165</x:v>
      </x:c>
      <x:c r="Q24" s="273" t="str">
        <x:f>INDEX('GA Results'!$L$2:$L$17,MATCH($A24,'GA Results'!$A$2:$A$17,0))</x:f>
        <x:v>[81, 370, 415, 282, 336]</x:v>
      </x:c>
      <x:c r="R24" s="269" t="str">
        <x:f>IF(AND(INDEX('LLM Results'!$K$2:$K$17,MATCH($A24,'LLM Results'!$H$2:$H$17,0))="OK",INDEX('LLM Results'!$N$2:$N$17,MATCH($A24,'LLM Results'!$H$2:$H$17,0))="True",INDEX('LLM Results'!$AD$2:$AD$17,MATCH($A24,'LLM Results'!$H$2:$H$17,0))="True"),"Yes","No")</x:f>
        <x:v>Yes</x:v>
      </x:c>
    </x:row>
    <x:row r="25" ht="32" customHeight="1">
      <x:c r="A25" s="269" t="str">
        <x:v>P8</x:v>
      </x:c>
      <x:c r="B25" s="269" t="n">
        <x:f>INDEX('LLM Results'!$L$2:$L$17,MATCH($A25,'LLM Results'!$H$2:$H$17,0))</x:f>
        <x:v>5</x:v>
      </x:c>
      <x:c r="C25" s="270" t="n">
        <x:f>INDEX('LLM Results'!$U$2:$U$17,MATCH($A25,'LLM Results'!$H$2:$H$17,0))</x:f>
        <x:v>0.536508</x:v>
      </x:c>
      <x:c r="D25" s="270" t="n">
        <x:f>INDEX('GA Results'!$I$2:$I$17,MATCH($A25,'GA Results'!$A$2:$A$17,0))</x:f>
        <x:v>0.67571458</x:v>
      </x:c>
      <x:c r="E25" s="270" t="n">
        <x:f>D25-C25</x:f>
        <x:v>0.13920657999999997</x:v>
      </x:c>
      <x:c r="F25" s="271" t="n">
        <x:f>IFERROR((D25-C25)/C25,"")</x:f>
        <x:v>0.2594678550925615</x:v>
      </x:c>
      <x:c r="G25" s="270" t="n">
        <x:f>INDEX('LLM Results'!$S$2:$S$17,MATCH($A25,'LLM Results'!$H$2:$H$17,0))</x:f>
        <x:v>0.6190479999999999</x:v>
      </x:c>
      <x:c r="H25" s="270" t="n">
        <x:f>INDEX('GA Results'!$J$2:$J$17,MATCH($A25,'GA Results'!$A$2:$A$17,0))</x:f>
        <x:v>0.6428575</x:v>
      </x:c>
      <x:c r="I25" s="270" t="n">
        <x:f>H25-G25</x:f>
        <x:v>0.02380950000000004</x:v>
      </x:c>
      <x:c r="J25" s="270" t="n">
        <x:f>INDEX('LLM Results'!$T$2:$T$17,MATCH($A25,'LLM Results'!$H$2:$H$17,0))</x:f>
        <x:v>0.52</x:v>
      </x:c>
      <x:c r="K25" s="270" t="n">
        <x:f>INDEX('GA Results'!$K$2:$K$17,MATCH($A25,'GA Results'!$A$2:$A$17,0))</x:f>
        <x:v>0.84</x:v>
      </x:c>
      <x:c r="L25" s="270" t="n">
        <x:f>K25-J25</x:f>
        <x:v>0.31999999999999995</x:v>
      </x:c>
      <x:c r="M25" s="270" t="n">
        <x:f>INDEX('GA Results'!$Q$2:$Q$17,MATCH($A25,'GA Results'!$A$2:$A$17,0))</x:f>
        <x:v>0.66154253</x:v>
      </x:c>
      <x:c r="N25" s="270" t="n">
        <x:f>M25-C25</x:f>
        <x:v>0.12503452999999998</x:v>
      </x:c>
      <x:c r="O25" s="272" t="str">
        <x:f>IF(D25&gt;C25,"GA",IF(D25&lt;C25,"LLM","Tie"))</x:f>
        <x:v>GA</x:v>
      </x:c>
      <x:c r="P25" s="273" t="str">
        <x:f>INDEX('LLM Results'!$P$2:$P$17,MATCH($A25,'LLM Results'!$H$2:$H$17,0))</x:f>
        <x:v>145,81,214,688,543</x:v>
      </x:c>
      <x:c r="Q25" s="273" t="str">
        <x:f>INDEX('GA Results'!$L$2:$L$17,MATCH($A25,'GA Results'!$A$2:$A$17,0))</x:f>
        <x:v>[370, 398, 415, 336, 81]</x:v>
      </x:c>
      <x:c r="R25" s="269" t="str">
        <x:f>IF(AND(INDEX('LLM Results'!$K$2:$K$17,MATCH($A25,'LLM Results'!$H$2:$H$17,0))="OK",INDEX('LLM Results'!$N$2:$N$17,MATCH($A25,'LLM Results'!$H$2:$H$17,0))="True",INDEX('LLM Results'!$AD$2:$AD$17,MATCH($A25,'LLM Results'!$H$2:$H$17,0))="True"),"Yes","No")</x:f>
        <x:v>Yes</x:v>
      </x:c>
    </x:row>
    <x:row r="26" ht="32" customHeight="1">
      <x:c r="A26" s="269" t="str">
        <x:v>P9</x:v>
      </x:c>
      <x:c r="B26" s="269" t="n">
        <x:f>INDEX('LLM Results'!$L$2:$L$17,MATCH($A26,'LLM Results'!$H$2:$H$17,0))</x:f>
        <x:v>6</x:v>
      </x:c>
      <x:c r="C26" s="270" t="n">
        <x:f>INDEX('LLM Results'!$U$2:$U$17,MATCH($A26,'LLM Results'!$H$2:$H$17,0))</x:f>
        <x:v>0.4493655555555556</x:v>
      </x:c>
      <x:c r="D26" s="270" t="n">
        <x:f>INDEX('GA Results'!$I$2:$I$17,MATCH($A26,'GA Results'!$A$2:$A$17,0))</x:f>
        <x:v>0.53105861</x:v>
      </x:c>
      <x:c r="E26" s="270" t="n">
        <x:f>D26-C26</x:f>
        <x:v>0.08169305444444441</x:v>
      </x:c>
      <x:c r="F26" s="271" t="n">
        <x:f>IFERROR((D26-C26)/C26,"")</x:f>
        <x:v>0.18179643151208238</x:v>
      </x:c>
      <x:c r="G26" s="270" t="n">
        <x:f>INDEX('LLM Results'!$S$2:$S$17,MATCH($A26,'LLM Results'!$H$2:$H$17,0))</x:f>
        <x:v>0.42857200000000006</x:v>
      </x:c>
      <x:c r="H26" s="270" t="n">
        <x:f>INDEX('GA Results'!$J$2:$J$17,MATCH($A26,'GA Results'!$A$2:$A$17,0))</x:f>
        <x:v>0.507937</x:v>
      </x:c>
      <x:c r="I26" s="270" t="n">
        <x:f>H26-G26</x:f>
        <x:v>0.07936499999999991</x:v>
      </x:c>
      <x:c r="J26" s="270" t="n">
        <x:f>INDEX('LLM Results'!$T$2:$T$17,MATCH($A26,'LLM Results'!$H$2:$H$17,0))</x:f>
        <x:v>0.5533333333333333</x:v>
      </x:c>
      <x:c r="K26" s="270" t="n">
        <x:f>INDEX('GA Results'!$K$2:$K$17,MATCH($A26,'GA Results'!$A$2:$A$17,0))</x:f>
        <x:v>0.64666667</x:v>
      </x:c>
      <x:c r="L26" s="270" t="n">
        <x:f>K26-J26</x:f>
        <x:v>0.09333333666666666</x:v>
      </x:c>
      <x:c r="M26" s="270" t="n">
        <x:f>INDEX('GA Results'!$Q$2:$Q$17,MATCH($A26,'GA Results'!$A$2:$A$17,0))</x:f>
        <x:v>0.50983794</x:v>
      </x:c>
      <x:c r="N26" s="270" t="n">
        <x:f>M26-C26</x:f>
        <x:v>0.06047238444444447</x:v>
      </x:c>
      <x:c r="O26" s="272" t="str">
        <x:f>IF(D26&gt;C26,"GA",IF(D26&lt;C26,"LLM","Tie"))</x:f>
        <x:v>GA</x:v>
      </x:c>
      <x:c r="P26" s="273" t="str">
        <x:f>INDEX('LLM Results'!$P$2:$P$17,MATCH($A26,'LLM Results'!$H$2:$H$17,0))</x:f>
        <x:v>449,492,473,351,154,538</x:v>
      </x:c>
      <x:c r="Q26" s="273" t="str">
        <x:f>INDEX('GA Results'!$L$2:$L$17,MATCH($A26,'GA Results'!$A$2:$A$17,0))</x:f>
        <x:v>[290, 382, 560, 647, 484, 94]</x:v>
      </x:c>
      <x:c r="R26" s="269" t="str">
        <x:f>IF(AND(INDEX('LLM Results'!$K$2:$K$17,MATCH($A26,'LLM Results'!$H$2:$H$17,0))="OK",INDEX('LLM Results'!$N$2:$N$17,MATCH($A26,'LLM Results'!$H$2:$H$17,0))="True",INDEX('LLM Results'!$AD$2:$AD$17,MATCH($A26,'LLM Results'!$H$2:$H$17,0))="True"),"Yes","No")</x:f>
        <x:v>Yes</x:v>
      </x:c>
    </x:row>
    <x:row r="27" ht="32" customHeight="1">
      <x:c r="A27" s="269" t="str">
        <x:v>P10</x:v>
      </x:c>
      <x:c r="B27" s="269" t="n">
        <x:f>INDEX('LLM Results'!$L$2:$L$17,MATCH($A27,'LLM Results'!$H$2:$H$17,0))</x:f>
        <x:v>8</x:v>
      </x:c>
      <x:c r="C27" s="270" t="n">
        <x:f>INDEX('LLM Results'!$U$2:$U$17,MATCH($A27,'LLM Results'!$H$2:$H$17,0))</x:f>
        <x:v>0.5297619761904762</x:v>
      </x:c>
      <x:c r="D27" s="270" t="n">
        <x:f>INDEX('GA Results'!$I$2:$I$17,MATCH($A27,'GA Results'!$A$2:$A$17,0))</x:f>
        <x:v>0.61622129</x:v>
      </x:c>
      <x:c r="E27" s="270" t="n">
        <x:f>D27-C27</x:f>
        <x:v>0.08645931380952387</x:v>
      </x:c>
      <x:c r="F27" s="271" t="n">
        <x:f>IFERROR((D27-C27)/C27,"")</x:f>
        <x:v>0.16320407597248426</x:v>
      </x:c>
      <x:c r="G27" s="270" t="n">
        <x:f>INDEX('LLM Results'!$S$2:$S$17,MATCH($A27,'LLM Results'!$H$2:$H$17,0))</x:f>
        <x:v>0.571429</x:v>
      </x:c>
      <x:c r="H27" s="270" t="n">
        <x:f>INDEX('GA Results'!$J$2:$J$17,MATCH($A27,'GA Results'!$A$2:$A$17,0))</x:f>
        <x:v>0.57089412</x:v>
      </x:c>
      <x:c r="I27" s="270" t="n">
        <x:f>H27-G27</x:f>
        <x:v>-0.0005348800000000153</x:v>
      </x:c>
      <x:c r="J27" s="270" t="n">
        <x:f>INDEX('LLM Results'!$T$2:$T$17,MATCH($A27,'LLM Results'!$H$2:$H$17,0))</x:f>
        <x:v>0.5214285714285714</x:v>
      </x:c>
      <x:c r="K27" s="270" t="n">
        <x:f>INDEX('GA Results'!$K$2:$K$17,MATCH($A27,'GA Results'!$A$2:$A$17,0))</x:f>
        <x:v>0.84285714</x:v>
      </x:c>
      <x:c r="L27" s="270" t="n">
        <x:f>K27-J27</x:f>
        <x:v>0.32142856857142865</x:v>
      </x:c>
      <x:c r="M27" s="270" t="n">
        <x:f>INDEX('GA Results'!$Q$2:$Q$17,MATCH($A27,'GA Results'!$A$2:$A$17,0))</x:f>
        <x:v>0.60722932</x:v>
      </x:c>
      <x:c r="N27" s="270" t="n">
        <x:f>M27-C27</x:f>
        <x:v>0.0774673438095238</x:v>
      </x:c>
      <x:c r="O27" s="272" t="str">
        <x:f>IF(D27&gt;C27,"GA",IF(D27&lt;C27,"LLM","Tie"))</x:f>
        <x:v>GA</x:v>
      </x:c>
      <x:c r="P27" s="273" t="str">
        <x:f>INDEX('LLM Results'!$P$2:$P$17,MATCH($A27,'LLM Results'!$H$2:$H$17,0))</x:f>
        <x:v>183,354,27,615,181,532,363,486</x:v>
      </x:c>
      <x:c r="Q27" s="273" t="str">
        <x:f>INDEX('GA Results'!$L$2:$L$17,MATCH($A27,'GA Results'!$A$2:$A$17,0))</x:f>
        <x:v>[615, 257, 477, 94, 496, 382, 492, 27]</x:v>
      </x:c>
      <x:c r="R27" s="269" t="str">
        <x:f>IF(AND(INDEX('LLM Results'!$K$2:$K$17,MATCH($A27,'LLM Results'!$H$2:$H$17,0))="OK",INDEX('LLM Results'!$N$2:$N$17,MATCH($A27,'LLM Results'!$H$2:$H$17,0))="True",INDEX('LLM Results'!$AD$2:$AD$17,MATCH($A27,'LLM Results'!$H$2:$H$17,0))="True"),"Yes","No")</x:f>
        <x:v>Yes</x:v>
      </x:c>
    </x:row>
    <x:row r="28" ht="32" customHeight="1">
      <x:c r="A28" s="269" t="str">
        <x:v>P11</x:v>
      </x:c>
      <x:c r="B28" s="269" t="n">
        <x:f>INDEX('LLM Results'!$L$2:$L$17,MATCH($A28,'LLM Results'!$H$2:$H$17,0))</x:f>
        <x:v>9</x:v>
      </x:c>
      <x:c r="C28" s="270" t="n">
        <x:f>INDEX('LLM Results'!$U$2:$U$17,MATCH($A28,'LLM Results'!$H$2:$H$17,0))</x:f>
        <x:v>0.43399518518518526</x:v>
      </x:c>
      <x:c r="D28" s="270" t="n">
        <x:f>INDEX('GA Results'!$I$2:$I$17,MATCH($A28,'GA Results'!$A$2:$A$17,0))</x:f>
        <x:v>0.50410097</x:v>
      </x:c>
      <x:c r="E28" s="270" t="n">
        <x:f>D28-C28</x:f>
        <x:v>0.07010578481481472</x:v>
      </x:c>
      <x:c r="F28" s="271" t="n">
        <x:f>IFERROR((D28-C28)/C28,"")</x:f>
        <x:v>0.16153585847939916</x:v>
      </x:c>
      <x:c r="G28" s="270" t="n">
        <x:f>INDEX('LLM Results'!$S$2:$S$17,MATCH($A28,'LLM Results'!$H$2:$H$17,0))</x:f>
        <x:v>0.42857200000000006</x:v>
      </x:c>
      <x:c r="H28" s="270" t="n">
        <x:f>INDEX('GA Results'!$J$2:$J$17,MATCH($A28,'GA Results'!$A$2:$A$17,0))</x:f>
        <x:v>0.4682545</x:v>
      </x:c>
      <x:c r="I28" s="270" t="n">
        <x:f>H28-G28</x:f>
        <x:v>0.039682499999999954</x:v>
      </x:c>
      <x:c r="J28" s="270" t="n">
        <x:f>INDEX('LLM Results'!$T$2:$T$17,MATCH($A28,'LLM Results'!$H$2:$H$17,0))</x:f>
        <x:v>0.4611111111111111</x:v>
      </x:c>
      <x:c r="K28" s="270" t="n">
        <x:f>INDEX('GA Results'!$K$2:$K$17,MATCH($A28,'GA Results'!$A$2:$A$17,0))</x:f>
        <x:v>0.68333333</x:v>
      </x:c>
      <x:c r="L28" s="270" t="n">
        <x:f>K28-J28</x:f>
        <x:v>0.22222221888888888</x:v>
      </x:c>
      <x:c r="M28" s="270" t="n">
        <x:f>INDEX('GA Results'!$Q$2:$Q$17,MATCH($A28,'GA Results'!$A$2:$A$17,0))</x:f>
        <x:v>0.48658556</x:v>
      </x:c>
      <x:c r="N28" s="270" t="n">
        <x:f>M28-C28</x:f>
        <x:v>0.05259037481481471</x:v>
      </x:c>
      <x:c r="O28" s="272" t="str">
        <x:f>IF(D28&gt;C28,"GA",IF(D28&lt;C28,"LLM","Tie"))</x:f>
        <x:v>GA</x:v>
      </x:c>
      <x:c r="P28" s="273" t="str">
        <x:f>INDEX('LLM Results'!$P$2:$P$17,MATCH($A28,'LLM Results'!$H$2:$H$17,0))</x:f>
        <x:v>205,250,154,349,716,398,202,536,143</x:v>
      </x:c>
      <x:c r="Q28" s="273" t="str">
        <x:f>INDEX('GA Results'!$L$2:$L$17,MATCH($A28,'GA Results'!$A$2:$A$17,0))</x:f>
        <x:v>[437, 583, 467, 336, 498, 458, 317, 415, 282]</x:v>
      </x:c>
      <x:c r="R28" s="269" t="str">
        <x:f>IF(AND(INDEX('LLM Results'!$K$2:$K$17,MATCH($A28,'LLM Results'!$H$2:$H$17,0))="OK",INDEX('LLM Results'!$N$2:$N$17,MATCH($A28,'LLM Results'!$H$2:$H$17,0))="True",INDEX('LLM Results'!$AD$2:$AD$17,MATCH($A28,'LLM Results'!$H$2:$H$17,0))="True"),"Yes","No")</x:f>
        <x:v>Yes</x:v>
      </x:c>
    </x:row>
    <x:row r="29" ht="32" customHeight="1">
      <x:c r="A29" s="269" t="str">
        <x:v>P12</x:v>
      </x:c>
      <x:c r="B29" s="269" t="n">
        <x:f>INDEX('LLM Results'!$L$2:$L$17,MATCH($A29,'LLM Results'!$H$2:$H$17,0))</x:f>
        <x:v>4</x:v>
      </x:c>
      <x:c r="C29" s="270" t="n">
        <x:f>INDEX('LLM Results'!$U$2:$U$17,MATCH($A29,'LLM Results'!$H$2:$H$17,0))</x:f>
        <x:v>0.45158777777777787</x:v>
      </x:c>
      <x:c r="D29" s="270" t="n">
        <x:f>INDEX('GA Results'!$I$2:$I$17,MATCH($A29,'GA Results'!$A$2:$A$17,0))</x:f>
        <x:v>0.5177694</x:v>
      </x:c>
      <x:c r="E29" s="270" t="n">
        <x:f>D29-C29</x:f>
        <x:v>0.06618162222222218</x:v>
      </x:c>
      <x:c r="F29" s="271" t="n">
        <x:f>IFERROR((D29-C29)/C29,"")</x:f>
        <x:v>0.14655317410913088</x:v>
      </x:c>
      <x:c r="G29" s="270" t="n">
        <x:f>INDEX('LLM Results'!$S$2:$S$17,MATCH($A29,'LLM Results'!$H$2:$H$17,0))</x:f>
        <x:v>0.42857200000000006</x:v>
      </x:c>
      <x:c r="H29" s="270" t="n">
        <x:f>INDEX('GA Results'!$J$2:$J$17,MATCH($A29,'GA Results'!$A$2:$A$17,0))</x:f>
        <x:v>0.46798994</x:v>
      </x:c>
      <x:c r="I29" s="270" t="n">
        <x:f>H29-G29</x:f>
        <x:v>0.03941793999999993</x:v>
      </x:c>
      <x:c r="J29" s="270" t="n">
        <x:f>INDEX('LLM Results'!$T$2:$T$17,MATCH($A29,'LLM Results'!$H$2:$H$17,0))</x:f>
        <x:v>0.5666666666666667</x:v>
      </x:c>
      <x:c r="K29" s="270" t="n">
        <x:f>INDEX('GA Results'!$K$2:$K$17,MATCH($A29,'GA Results'!$A$2:$A$17,0))</x:f>
        <x:v>0.76666667</x:v>
      </x:c>
      <x:c r="L29" s="270" t="n">
        <x:f>K29-J29</x:f>
        <x:v>0.20000000333333334</x:v>
      </x:c>
      <x:c r="M29" s="270" t="n">
        <x:f>INDEX('GA Results'!$Q$2:$Q$17,MATCH($A29,'GA Results'!$A$2:$A$17,0))</x:f>
        <x:v>0.50511949</x:v>
      </x:c>
      <x:c r="N29" s="270" t="n">
        <x:f>M29-C29</x:f>
        <x:v>0.05353171222222214</x:v>
      </x:c>
      <x:c r="O29" s="272" t="str">
        <x:f>IF(D29&gt;C29,"GA",IF(D29&lt;C29,"LLM","Tie"))</x:f>
        <x:v>GA</x:v>
      </x:c>
      <x:c r="P29" s="273" t="str">
        <x:f>INDEX('LLM Results'!$P$2:$P$17,MATCH($A29,'LLM Results'!$H$2:$H$17,0))</x:f>
        <x:v>335,458,370,438</x:v>
      </x:c>
      <x:c r="Q29" s="273" t="str">
        <x:f>INDEX('GA Results'!$L$2:$L$17,MATCH($A29,'GA Results'!$A$2:$A$17,0))</x:f>
        <x:v>[398, 415, 467, 458]</x:v>
      </x:c>
      <x:c r="R29" s="269" t="str">
        <x:f>IF(AND(INDEX('LLM Results'!$K$2:$K$17,MATCH($A29,'LLM Results'!$H$2:$H$17,0))="OK",INDEX('LLM Results'!$N$2:$N$17,MATCH($A29,'LLM Results'!$H$2:$H$17,0))="True",INDEX('LLM Results'!$AD$2:$AD$17,MATCH($A29,'LLM Results'!$H$2:$H$17,0))="True"),"Yes","No")</x:f>
        <x:v>Yes</x:v>
      </x:c>
    </x:row>
    <x:row r="30" ht="32" customHeight="1">
      <x:c r="A30" s="269" t="str">
        <x:v>P13</x:v>
      </x:c>
      <x:c r="B30" s="269" t="n">
        <x:f>INDEX('LLM Results'!$L$2:$L$17,MATCH($A30,'LLM Results'!$H$2:$H$17,0))</x:f>
        <x:v>4</x:v>
      </x:c>
      <x:c r="C30" s="270" t="n">
        <x:f>INDEX('LLM Results'!$U$2:$U$17,MATCH($A30,'LLM Results'!$H$2:$H$17,0))</x:f>
        <x:v>0.5317460833333333</x:v>
      </x:c>
      <x:c r="D30" s="270" t="n">
        <x:f>INDEX('GA Results'!$I$2:$I$17,MATCH($A30,'GA Results'!$A$2:$A$17,0))</x:f>
        <x:v>0.86428583</x:v>
      </x:c>
      <x:c r="E30" s="270" t="n">
        <x:f>D30-C30</x:f>
        <x:v>0.33253974666666675</x:v>
      </x:c>
      <x:c r="F30" s="271" t="n">
        <x:f>IFERROR((D30-C30)/C30,"")</x:f>
        <x:v>0.6253731942548396</x:v>
      </x:c>
      <x:c r="G30" s="270" t="n">
        <x:f>INDEX('LLM Results'!$S$2:$S$17,MATCH($A30,'LLM Results'!$H$2:$H$17,0))</x:f>
        <x:v>0.6904765</x:v>
      </x:c>
      <x:c r="H30" s="270" t="n">
        <x:f>INDEX('GA Results'!$J$2:$J$17,MATCH($A30,'GA Results'!$A$2:$A$17,0))</x:f>
        <x:v>0.857143</x:v>
      </x:c>
      <x:c r="I30" s="270" t="n">
        <x:f>H30-G30</x:f>
        <x:v>0.16666649999999994</x:v>
      </x:c>
      <x:c r="J30" s="270" t="n">
        <x:f>INDEX('LLM Results'!$T$2:$T$17,MATCH($A30,'LLM Results'!$H$2:$H$17,0))</x:f>
        <x:v>0.5</x:v>
      </x:c>
      <x:c r="K30" s="270" t="n">
        <x:f>INDEX('GA Results'!$K$2:$K$17,MATCH($A30,'GA Results'!$A$2:$A$17,0))</x:f>
        <x:v>0.9</x:v>
      </x:c>
      <x:c r="L30" s="270" t="n">
        <x:f>K30-J30</x:f>
        <x:v>0.4</x:v>
      </x:c>
      <x:c r="M30" s="270" t="n">
        <x:f>INDEX('GA Results'!$Q$2:$Q$17,MATCH($A30,'GA Results'!$A$2:$A$17,0))</x:f>
        <x:v>0.86410065</x:v>
      </x:c>
      <x:c r="N30" s="270" t="n">
        <x:f>M30-C30</x:f>
        <x:v>0.33235456666666674</x:v>
      </x:c>
      <x:c r="O30" s="272" t="str">
        <x:f>IF(D30&gt;C30,"GA",IF(D30&lt;C30,"LLM","Tie"))</x:f>
        <x:v>GA</x:v>
      </x:c>
      <x:c r="P30" s="273" t="str">
        <x:f>INDEX('LLM Results'!$P$2:$P$17,MATCH($A30,'LLM Results'!$H$2:$H$17,0))</x:f>
        <x:v>142,688,81,370</x:v>
      </x:c>
      <x:c r="Q30" s="273" t="str">
        <x:f>INDEX('GA Results'!$L$2:$L$17,MATCH($A30,'GA Results'!$A$2:$A$17,0))</x:f>
        <x:v>[589, 583, 498, 720]</x:v>
      </x:c>
      <x:c r="R30" s="269" t="str">
        <x:f>IF(AND(INDEX('LLM Results'!$K$2:$K$17,MATCH($A30,'LLM Results'!$H$2:$H$17,0))="OK",INDEX('LLM Results'!$N$2:$N$17,MATCH($A30,'LLM Results'!$H$2:$H$17,0))="True",INDEX('LLM Results'!$AD$2:$AD$17,MATCH($A30,'LLM Results'!$H$2:$H$17,0))="True"),"Yes","No")</x:f>
        <x:v>Yes</x:v>
      </x:c>
    </x:row>
    <x:row r="31" ht="32" customHeight="1">
      <x:c r="A31" s="269" t="str">
        <x:v>P14</x:v>
      </x:c>
      <x:c r="B31" s="269" t="n">
        <x:f>INDEX('LLM Results'!$L$2:$L$17,MATCH($A31,'LLM Results'!$H$2:$H$17,0))</x:f>
        <x:v>4</x:v>
      </x:c>
      <x:c r="C31" s="270" t="n">
        <x:f>INDEX('LLM Results'!$U$2:$U$17,MATCH($A31,'LLM Results'!$H$2:$H$17,0))</x:f>
        <x:v>0.6230158888888888</x:v>
      </x:c>
      <x:c r="D31" s="270" t="n">
        <x:f>INDEX('GA Results'!$I$2:$I$17,MATCH($A31,'GA Results'!$A$2:$A$17,0))</x:f>
        <x:v>0.90079367</x:v>
      </x:c>
      <x:c r="E31" s="270" t="n">
        <x:f>D31-C31</x:f>
        <x:v>0.2777777811111112</x:v>
      </x:c>
      <x:c r="F31" s="271" t="n">
        <x:f>IFERROR((D31-C31)/C31,"")</x:f>
        <x:v>0.44585986660229654</x:v>
      </x:c>
      <x:c r="G31" s="270" t="n">
        <x:f>INDEX('LLM Results'!$S$2:$S$17,MATCH($A31,'LLM Results'!$H$2:$H$17,0))</x:f>
        <x:v>0.9047620000000001</x:v>
      </x:c>
      <x:c r="H31" s="270" t="n">
        <x:f>INDEX('GA Results'!$J$2:$J$17,MATCH($A31,'GA Results'!$A$2:$A$17,0))</x:f>
        <x:v>0.904762</x:v>
      </x:c>
      <x:c r="I31" s="270" t="n">
        <x:f>H31-G31</x:f>
        <x:v>-1.1102230246251565e-16</x:v>
      </x:c>
      <x:c r="J31" s="270" t="n">
        <x:f>INDEX('LLM Results'!$T$2:$T$17,MATCH($A31,'LLM Results'!$H$2:$H$17,0))</x:f>
        <x:v>0.5666666666666667</x:v>
      </x:c>
      <x:c r="K31" s="270" t="n">
        <x:f>INDEX('GA Results'!$K$2:$K$17,MATCH($A31,'GA Results'!$A$2:$A$17,0))</x:f>
        <x:v>0.9</x:v>
      </x:c>
      <x:c r="L31" s="270" t="n">
        <x:f>K31-J31</x:f>
        <x:v>0.33333333333333337</x:v>
      </x:c>
      <x:c r="M31" s="270" t="n">
        <x:f>INDEX('GA Results'!$Q$2:$Q$17,MATCH($A31,'GA Results'!$A$2:$A$17,0))</x:f>
        <x:v>0.89059158</x:v>
      </x:c>
      <x:c r="N31" s="270" t="n">
        <x:f>M31-C31</x:f>
        <x:v>0.26757569111111124</x:v>
      </x:c>
      <x:c r="O31" s="272" t="str">
        <x:f>IF(D31&gt;C31,"GA",IF(D31&lt;C31,"LLM","Tie"))</x:f>
        <x:v>GA</x:v>
      </x:c>
      <x:c r="P31" s="273" t="str">
        <x:f>INDEX('LLM Results'!$P$2:$P$17,MATCH($A31,'LLM Results'!$H$2:$H$17,0))</x:f>
        <x:v>250,205,398,468</x:v>
      </x:c>
      <x:c r="Q31" s="273" t="str">
        <x:f>INDEX('GA Results'!$L$2:$L$17,MATCH($A31,'GA Results'!$A$2:$A$17,0))</x:f>
        <x:v>[359, 220, 357, 503]</x:v>
      </x:c>
      <x:c r="R31" s="269" t="str">
        <x:f>IF(AND(INDEX('LLM Results'!$K$2:$K$17,MATCH($A31,'LLM Results'!$H$2:$H$17,0))="OK",INDEX('LLM Results'!$N$2:$N$17,MATCH($A31,'LLM Results'!$H$2:$H$17,0))="True",INDEX('LLM Results'!$AD$2:$AD$17,MATCH($A31,'LLM Results'!$H$2:$H$17,0))="True"),"Yes","No")</x:f>
        <x:v>Yes</x:v>
      </x:c>
    </x:row>
    <x:row r="32" ht="32" customHeight="1">
      <x:c r="A32" s="269" t="str">
        <x:v>P15</x:v>
      </x:c>
      <x:c r="B32" s="269" t="n">
        <x:f>INDEX('LLM Results'!$L$2:$L$17,MATCH($A32,'LLM Results'!$H$2:$H$17,0))</x:f>
        <x:v>5</x:v>
      </x:c>
      <x:c r="C32" s="270" t="n">
        <x:f>INDEX('LLM Results'!$U$2:$U$17,MATCH($A32,'LLM Results'!$H$2:$H$17,0))</x:f>
        <x:v>0.404762</x:v>
      </x:c>
      <x:c r="D32" s="270" t="n">
        <x:f>INDEX('GA Results'!$I$2:$I$17,MATCH($A32,'GA Results'!$A$2:$A$17,0))</x:f>
        <x:v>0.53472829</x:v>
      </x:c>
      <x:c r="E32" s="270" t="n">
        <x:f>D32-C32</x:f>
        <x:v>0.12996628999999998</x:v>
      </x:c>
      <x:c r="F32" s="271" t="n">
        <x:f>IFERROR((D32-C32)/C32,"")</x:f>
        <x:v>0.32109311150750314</x:v>
      </x:c>
      <x:c r="G32" s="270" t="n">
        <x:f>INDEX('LLM Results'!$S$2:$S$17,MATCH($A32,'LLM Results'!$H$2:$H$17,0))</x:f>
        <x:v>0.42857200000000006</x:v>
      </x:c>
      <x:c r="H32" s="270" t="n">
        <x:f>INDEX('GA Results'!$J$2:$J$17,MATCH($A32,'GA Results'!$A$2:$A$17,0))</x:f>
        <x:v>0.49367395</x:v>
      </x:c>
      <x:c r="I32" s="270" t="n">
        <x:f>H32-G32</x:f>
        <x:v>0.06510194999999991</x:v>
      </x:c>
      <x:c r="J32" s="270" t="n">
        <x:f>INDEX('LLM Results'!$T$2:$T$17,MATCH($A32,'LLM Results'!$H$2:$H$17,0))</x:f>
        <x:v>0.4</x:v>
      </x:c>
      <x:c r="K32" s="270" t="n">
        <x:f>INDEX('GA Results'!$K$2:$K$17,MATCH($A32,'GA Results'!$A$2:$A$17,0))</x:f>
        <x:v>0.74</x:v>
      </x:c>
      <x:c r="L32" s="270" t="n">
        <x:f>K32-J32</x:f>
        <x:v>0.33999999999999997</x:v>
      </x:c>
      <x:c r="M32" s="270" t="n">
        <x:f>INDEX('GA Results'!$Q$2:$Q$17,MATCH($A32,'GA Results'!$A$2:$A$17,0))</x:f>
        <x:v>0.51247044</x:v>
      </x:c>
      <x:c r="N32" s="270" t="n">
        <x:f>M32-C32</x:f>
        <x:v>0.10770843999999996</x:v>
      </x:c>
      <x:c r="O32" s="272" t="str">
        <x:f>IF(D32&gt;C32,"GA",IF(D32&lt;C32,"LLM","Tie"))</x:f>
        <x:v>GA</x:v>
      </x:c>
      <x:c r="P32" s="273" t="str">
        <x:f>INDEX('LLM Results'!$P$2:$P$17,MATCH($A32,'LLM Results'!$H$2:$H$17,0))</x:f>
        <x:v>582,398,27,608,500</x:v>
      </x:c>
      <x:c r="Q32" s="273" t="str">
        <x:f>INDEX('GA Results'!$L$2:$L$17,MATCH($A32,'GA Results'!$A$2:$A$17,0))</x:f>
        <x:v>[563, 498, 583, 467, 570]</x:v>
      </x:c>
      <x:c r="R32" s="269" t="str">
        <x:f>IF(AND(INDEX('LLM Results'!$K$2:$K$17,MATCH($A32,'LLM Results'!$H$2:$H$17,0))="OK",INDEX('LLM Results'!$N$2:$N$17,MATCH($A32,'LLM Results'!$H$2:$H$17,0))="True",INDEX('LLM Results'!$AD$2:$AD$17,MATCH($A32,'LLM Results'!$H$2:$H$17,0))="True"),"Yes","No")</x:f>
        <x:v>Yes</x:v>
      </x:c>
    </x:row>
    <x:row r="33" ht="32" customHeight="1">
      <x:c r="A33" s="274" t="str">
        <x:v>P16</x:v>
      </x:c>
      <x:c r="B33" s="274" t="n">
        <x:f>INDEX('LLM Results'!$L$2:$L$17,MATCH($A33,'LLM Results'!$H$2:$H$17,0))</x:f>
        <x:v>9</x:v>
      </x:c>
      <x:c r="C33" s="275" t="n">
        <x:f>INDEX('LLM Results'!$U$2:$U$17,MATCH($A33,'LLM Results'!$H$2:$H$17,0))</x:f>
        <x:v>0.4376988888888889</x:v>
      </x:c>
      <x:c r="D33" s="275" t="n">
        <x:f>INDEX('GA Results'!$I$2:$I$17,MATCH($A33,'GA Results'!$A$2:$A$17,0))</x:f>
        <x:v>0.49626298</x:v>
      </x:c>
      <x:c r="E33" s="275" t="n">
        <x:f>D33-C33</x:f>
        <x:v>0.058564091111111105</x:v>
      </x:c>
      <x:c r="F33" s="276" t="n">
        <x:f>IFERROR((D33-C33)/C33,"")</x:f>
        <x:v>0.13379995379878099</x:v>
      </x:c>
      <x:c r="G33" s="275" t="n">
        <x:f>INDEX('LLM Results'!$S$2:$S$17,MATCH($A33,'LLM Results'!$H$2:$H$17,0))</x:f>
        <x:v>0.42857200000000006</x:v>
      </x:c>
      <x:c r="H33" s="275" t="n">
        <x:f>INDEX('GA Results'!$J$2:$J$17,MATCH($A33,'GA Results'!$A$2:$A$17,0))</x:f>
        <x:v>0.44218225</x:v>
      </x:c>
      <x:c r="I33" s="275" t="n">
        <x:f>H33-G33</x:f>
        <x:v>0.013610249999999935</x:v>
      </x:c>
      <x:c r="J33" s="275" t="n">
        <x:f>INDEX('LLM Results'!$T$2:$T$17,MATCH($A33,'LLM Results'!$H$2:$H$17,0))</x:f>
        <x:v>0.4833333333333333</x:v>
      </x:c>
      <x:c r="K33" s="275" t="n">
        <x:f>INDEX('GA Results'!$K$2:$K$17,MATCH($A33,'GA Results'!$A$2:$A$17,0))</x:f>
        <x:v>0.76666667</x:v>
      </x:c>
      <x:c r="L33" s="275" t="n">
        <x:f>K33-J33</x:f>
        <x:v>0.2833333366666667</x:v>
      </x:c>
      <x:c r="M33" s="275" t="n">
        <x:f>INDEX('GA Results'!$Q$2:$Q$17,MATCH($A33,'GA Results'!$A$2:$A$17,0))</x:f>
        <x:v>0.49015391</x:v>
      </x:c>
      <x:c r="N33" s="275" t="n">
        <x:f>M33-C33</x:f>
        <x:v>0.05245502111111111</x:v>
      </x:c>
      <x:c r="O33" s="277" t="str">
        <x:f>IF(D33&gt;C33,"GA",IF(D33&lt;C33,"LLM","Tie"))</x:f>
        <x:v>GA</x:v>
      </x:c>
      <x:c r="P33" s="278" t="str">
        <x:f>INDEX('LLM Results'!$P$2:$P$17,MATCH($A33,'LLM Results'!$H$2:$H$17,0))</x:f>
        <x:v>183,351,679,363,500,482,509,181,423</x:v>
      </x:c>
      <x:c r="Q33" s="278" t="str">
        <x:f>INDEX('GA Results'!$L$2:$L$17,MATCH($A33,'GA Results'!$A$2:$A$17,0))</x:f>
        <x:v>[317, 81, 316, 467, 415, 370, 398, 336, 282]</x:v>
      </x:c>
      <x:c r="R33" s="274" t="str">
        <x:f>IF(AND(INDEX('LLM Results'!$K$2:$K$17,MATCH($A33,'LLM Results'!$H$2:$H$17,0))="OK",INDEX('LLM Results'!$N$2:$N$17,MATCH($A33,'LLM Results'!$H$2:$H$17,0))="True",INDEX('LLM Results'!$AD$2:$AD$17,MATCH($A33,'LLM Results'!$H$2:$H$17,0))="True"),"Yes","No")</x:f>
        <x:v>Yes</x:v>
      </x:c>
    </x:row>
    <x:row r="36" ht="34" customHeight="1">
      <x:c r="A36" s="12" t="str">
        <x:v>Project</x:v>
      </x:c>
      <x:c r="B36" s="12" t="str">
        <x:v>LLM AE</x:v>
      </x:c>
      <x:c r="C36" s="12" t="str">
        <x:v>GA Best AE</x:v>
      </x:c>
    </x:row>
    <x:row r="37">
      <x:c r="A37" s="14" t="str">
        <x:f>A18</x:f>
        <x:v>P1</x:v>
      </x:c>
      <x:c r="B37" s="262" t="n">
        <x:f>C18</x:f>
        <x:v>0.4424603888888889</x:v>
      </x:c>
      <x:c r="C37" s="262" t="n">
        <x:f>D18</x:f>
        <x:v>0.61137602</x:v>
      </x:c>
    </x:row>
    <x:row r="38">
      <x:c r="A38" s="14" t="str">
        <x:f>A19</x:f>
        <x:v>P2</x:v>
      </x:c>
      <x:c r="B38" s="262" t="n">
        <x:f>C19</x:f>
        <x:v>0.404762</x:v>
      </x:c>
      <x:c r="C38" s="262" t="n">
        <x:f>D19</x:f>
        <x:v>0.51666909</x:v>
      </x:c>
    </x:row>
    <x:row r="39">
      <x:c r="A39" s="14" t="str">
        <x:f>A20</x:f>
        <x:v>P3</x:v>
      </x:c>
      <x:c r="B39" s="262" t="n">
        <x:f>C20</x:f>
        <x:v>0.6192066666666666</x:v>
      </x:c>
      <x:c r="C39" s="262" t="n">
        <x:f>D20</x:f>
        <x:v>0.68216956</x:v>
      </x:c>
    </x:row>
    <x:row r="40">
      <x:c r="A40" s="14" t="str">
        <x:f>A21</x:f>
        <x:v>P4</x:v>
      </x:c>
      <x:c r="B40" s="262" t="n">
        <x:f>C21</x:f>
        <x:v>0.4689154074074074</x:v>
      </x:c>
      <x:c r="C40" s="262" t="n">
        <x:f>D21</x:f>
        <x:v>0.65057902</x:v>
      </x:c>
    </x:row>
    <x:row r="41">
      <x:c r="A41" s="14" t="str">
        <x:f>A22</x:f>
        <x:v>P5</x:v>
      </x:c>
      <x:c r="B41" s="262" t="n">
        <x:f>C22</x:f>
        <x:v>0.5928575</x:v>
      </x:c>
      <x:c r="C41" s="262" t="n">
        <x:f>D22</x:f>
        <x:v>0.63650827</x:v>
      </x:c>
    </x:row>
    <x:row r="42">
      <x:c r="A42" s="14" t="str">
        <x:f>A23</x:f>
        <x:v>P6</x:v>
      </x:c>
      <x:c r="B42" s="262" t="n">
        <x:f>C23</x:f>
        <x:v>0.486508373015873</x:v>
      </x:c>
      <x:c r="C42" s="262" t="n">
        <x:f>D23</x:f>
        <x:v>0.53932621</x:v>
      </x:c>
    </x:row>
    <x:row r="43">
      <x:c r="A43" s="14" t="str">
        <x:f>A24</x:f>
        <x:v>P7</x:v>
      </x:c>
      <x:c r="B43" s="262" t="n">
        <x:f>C24</x:f>
        <x:v>0.5119048333333334</x:v>
      </x:c>
      <x:c r="C43" s="262" t="n">
        <x:f>D24</x:f>
        <x:v>0.63262637</x:v>
      </x:c>
    </x:row>
    <x:row r="44">
      <x:c r="A44" s="14" t="str">
        <x:f>A25</x:f>
        <x:v>P8</x:v>
      </x:c>
      <x:c r="B44" s="262" t="n">
        <x:f>C25</x:f>
        <x:v>0.536508</x:v>
      </x:c>
      <x:c r="C44" s="262" t="n">
        <x:f>D25</x:f>
        <x:v>0.67571458</x:v>
      </x:c>
    </x:row>
    <x:row r="45">
      <x:c r="A45" s="14" t="str">
        <x:f>A26</x:f>
        <x:v>P9</x:v>
      </x:c>
      <x:c r="B45" s="262" t="n">
        <x:f>C26</x:f>
        <x:v>0.4493655555555556</x:v>
      </x:c>
      <x:c r="C45" s="262" t="n">
        <x:f>D26</x:f>
        <x:v>0.53105861</x:v>
      </x:c>
    </x:row>
    <x:row r="46">
      <x:c r="A46" s="14" t="str">
        <x:f>A27</x:f>
        <x:v>P10</x:v>
      </x:c>
      <x:c r="B46" s="262" t="n">
        <x:f>C27</x:f>
        <x:v>0.5297619761904762</x:v>
      </x:c>
      <x:c r="C46" s="262" t="n">
        <x:f>D27</x:f>
        <x:v>0.61622129</x:v>
      </x:c>
    </x:row>
    <x:row r="47">
      <x:c r="A47" s="14" t="str">
        <x:f>A28</x:f>
        <x:v>P11</x:v>
      </x:c>
      <x:c r="B47" s="262" t="n">
        <x:f>C28</x:f>
        <x:v>0.43399518518518526</x:v>
      </x:c>
      <x:c r="C47" s="262" t="n">
        <x:f>D28</x:f>
        <x:v>0.50410097</x:v>
      </x:c>
    </x:row>
    <x:row r="48">
      <x:c r="A48" s="14" t="str">
        <x:f>A29</x:f>
        <x:v>P12</x:v>
      </x:c>
      <x:c r="B48" s="262" t="n">
        <x:f>C29</x:f>
        <x:v>0.45158777777777787</x:v>
      </x:c>
      <x:c r="C48" s="262" t="n">
        <x:f>D29</x:f>
        <x:v>0.5177694</x:v>
      </x:c>
    </x:row>
    <x:row r="49">
      <x:c r="A49" s="14" t="str">
        <x:f>A30</x:f>
        <x:v>P13</x:v>
      </x:c>
      <x:c r="B49" s="262" t="n">
        <x:f>C30</x:f>
        <x:v>0.5317460833333333</x:v>
      </x:c>
      <x:c r="C49" s="262" t="n">
        <x:f>D30</x:f>
        <x:v>0.86428583</x:v>
      </x:c>
    </x:row>
    <x:row r="50">
      <x:c r="A50" s="14" t="str">
        <x:f>A31</x:f>
        <x:v>P14</x:v>
      </x:c>
      <x:c r="B50" s="262" t="n">
        <x:f>C31</x:f>
        <x:v>0.6230158888888888</x:v>
      </x:c>
      <x:c r="C50" s="262" t="n">
        <x:f>D31</x:f>
        <x:v>0.90079367</x:v>
      </x:c>
    </x:row>
    <x:row r="51">
      <x:c r="A51" s="14" t="str">
        <x:f>A32</x:f>
        <x:v>P15</x:v>
      </x:c>
      <x:c r="B51" s="262" t="n">
        <x:f>C32</x:f>
        <x:v>0.404762</x:v>
      </x:c>
      <x:c r="C51" s="262" t="n">
        <x:f>D32</x:f>
        <x:v>0.53472829</x:v>
      </x:c>
    </x:row>
    <x:row r="52">
      <x:c r="A52" s="14" t="str">
        <x:f>A33</x:f>
        <x:v>P16</x:v>
      </x:c>
      <x:c r="B52" s="262" t="n">
        <x:f>C33</x:f>
        <x:v>0.4376988888888889</x:v>
      </x:c>
      <x:c r="C52" s="262" t="n">
        <x:f>D33</x:f>
        <x:v>0.49626298</x:v>
      </x:c>
    </x:row>
    <x:row r="57" ht="34" customHeight="1">
      <x:c r="A57" s="12" t="str">
        <x:v>Metric</x:v>
      </x:c>
      <x:c r="B57" s="12" t="str">
        <x:v>Direct LLM</x:v>
      </x:c>
      <x:c r="C57" s="12" t="str">
        <x:v>GA mean-run</x:v>
      </x:c>
      <x:c r="D57" s="12" t="str">
        <x:v>GA best-of-30</x:v>
      </x:c>
    </x:row>
    <x:row r="58">
      <x:c r="A58" s="14" t="str">
        <x:v>Mean AE</x:v>
      </x:c>
      <x:c r="B58" s="262" t="n">
        <x:f>D4</x:f>
        <x:v>0.4953160328207672</x:v>
      </x:c>
      <x:c r="C58" s="262" t="n">
        <x:f>D5</x:f>
        <x:v>0.606115660625</x:v>
      </x:c>
      <x:c r="D58" s="262" t="n">
        <x:f>D6</x:f>
        <x:v>0.6193868849999999</x:v>
      </x:c>
    </x:row>
    <x:row r="59">
      <x:c r="A59" s="14" t="str">
        <x:v>Mean AT</x:v>
      </x:c>
      <x:c r="B59" s="262" t="n">
        <x:f>F4</x:f>
        <x:v>0.5491075937500001</x:v>
      </x:c>
      <x:c r="C59" s="262" t="n">
        <x:f>F5</x:f>
        <x:v>0.5716069443749999</x:v>
      </x:c>
      <x:c r="D59" s="262" t="n">
        <x:f>F6</x:f>
        <x:v>0.58655395</x:v>
      </x:c>
    </x:row>
    <x:row r="60">
      <x:c r="A60" s="14" t="str">
        <x:v>Mean AC</x:v>
      </x:c>
      <x:c r="B60" s="262" t="n">
        <x:f>G4</x:f>
        <x:v>0.5116369047619047</x:v>
      </x:c>
      <x:c r="C60" s="262" t="n">
        <x:f>G5</x:f>
        <x:v>0.7823495374999999</x:v>
      </x:c>
      <x:c r="D60" s="262" t="n">
        <x:f>G6</x:f>
        <x:v>0.7847420643749999</x:v>
      </x:c>
    </x:row>
    <x:row r="76" ht="34" customHeight="1">
      <x:c r="A76" s="12" t="str">
        <x:v>Project</x:v>
      </x:c>
      <x:c r="B76" s="12" t="str">
        <x:v>GA Best AE Advantage</x:v>
      </x:c>
    </x:row>
    <x:row r="77">
      <x:c r="A77" s="14" t="str">
        <x:f>A18</x:f>
        <x:v>P1</x:v>
      </x:c>
      <x:c r="B77" s="262" t="n">
        <x:f>E18</x:f>
        <x:v>0.16891563111111113</x:v>
      </x:c>
    </x:row>
    <x:row r="78">
      <x:c r="A78" s="14" t="str">
        <x:f>A19</x:f>
        <x:v>P2</x:v>
      </x:c>
      <x:c r="B78" s="262" t="n">
        <x:f>E19</x:f>
        <x:v>0.11190709000000004</x:v>
      </x:c>
    </x:row>
    <x:row r="79">
      <x:c r="A79" s="14" t="str">
        <x:f>A20</x:f>
        <x:v>P3</x:v>
      </x:c>
      <x:c r="B79" s="262" t="n">
        <x:f>E20</x:f>
        <x:v>0.06296289333333338</x:v>
      </x:c>
    </x:row>
    <x:row r="80">
      <x:c r="A80" s="14" t="str">
        <x:f>A21</x:f>
        <x:v>P4</x:v>
      </x:c>
      <x:c r="B80" s="262" t="n">
        <x:f>E21</x:f>
        <x:v>0.18166361259259262</x:v>
      </x:c>
    </x:row>
    <x:row r="81">
      <x:c r="A81" s="14" t="str">
        <x:f>A22</x:f>
        <x:v>P5</x:v>
      </x:c>
      <x:c r="B81" s="262" t="n">
        <x:f>E22</x:f>
        <x:v>0.04365076999999995</x:v>
      </x:c>
    </x:row>
    <x:row r="82">
      <x:c r="A82" s="14" t="str">
        <x:f>A23</x:f>
        <x:v>P6</x:v>
      </x:c>
      <x:c r="B82" s="262" t="n">
        <x:f>E23</x:f>
        <x:v>0.05281783698412701</x:v>
      </x:c>
    </x:row>
    <x:row r="83">
      <x:c r="A83" s="14" t="str">
        <x:f>A24</x:f>
        <x:v>P7</x:v>
      </x:c>
      <x:c r="B83" s="262" t="n">
        <x:f>E24</x:f>
        <x:v>0.12072153666666663</x:v>
      </x:c>
    </x:row>
    <x:row r="84">
      <x:c r="A84" s="14" t="str">
        <x:f>A25</x:f>
        <x:v>P8</x:v>
      </x:c>
      <x:c r="B84" s="262" t="n">
        <x:f>E25</x:f>
        <x:v>0.13920657999999997</x:v>
      </x:c>
    </x:row>
    <x:row r="85">
      <x:c r="A85" s="14" t="str">
        <x:f>A26</x:f>
        <x:v>P9</x:v>
      </x:c>
      <x:c r="B85" s="262" t="n">
        <x:f>E26</x:f>
        <x:v>0.08169305444444441</x:v>
      </x:c>
    </x:row>
    <x:row r="86">
      <x:c r="A86" s="14" t="str">
        <x:f>A27</x:f>
        <x:v>P10</x:v>
      </x:c>
      <x:c r="B86" s="262" t="n">
        <x:f>E27</x:f>
        <x:v>0.08645931380952387</x:v>
      </x:c>
    </x:row>
    <x:row r="87">
      <x:c r="A87" s="14" t="str">
        <x:f>A28</x:f>
        <x:v>P11</x:v>
      </x:c>
      <x:c r="B87" s="262" t="n">
        <x:f>E28</x:f>
        <x:v>0.07010578481481472</x:v>
      </x:c>
    </x:row>
    <x:row r="88">
      <x:c r="A88" s="14" t="str">
        <x:f>A29</x:f>
        <x:v>P12</x:v>
      </x:c>
      <x:c r="B88" s="262" t="n">
        <x:f>E29</x:f>
        <x:v>0.06618162222222218</x:v>
      </x:c>
    </x:row>
    <x:row r="89">
      <x:c r="A89" s="14" t="str">
        <x:f>A30</x:f>
        <x:v>P13</x:v>
      </x:c>
      <x:c r="B89" s="262" t="n">
        <x:f>E30</x:f>
        <x:v>0.33253974666666675</x:v>
      </x:c>
    </x:row>
    <x:row r="90">
      <x:c r="A90" s="14" t="str">
        <x:f>A31</x:f>
        <x:v>P14</x:v>
      </x:c>
      <x:c r="B90" s="262" t="n">
        <x:f>E31</x:f>
        <x:v>0.2777777811111112</x:v>
      </x:c>
    </x:row>
    <x:row r="91">
      <x:c r="A91" s="14" t="str">
        <x:f>A32</x:f>
        <x:v>P15</x:v>
      </x:c>
      <x:c r="B91" s="262" t="n">
        <x:f>E32</x:f>
        <x:v>0.12996628999999998</x:v>
      </x:c>
    </x:row>
    <x:row r="92">
      <x:c r="A92" s="14" t="str">
        <x:f>A33</x:f>
        <x:v>P16</x:v>
      </x:c>
      <x:c r="B92" s="262" t="n">
        <x:f>E33</x:f>
        <x:v>0.058564091111111105</x:v>
      </x:c>
    </x:row>
  </x:sheetData>
  <x:mergeCells>
    <x:mergeCell ref="A1:R1"/>
    <x:mergeCell ref="A2:R2"/>
    <x:mergeCell ref="L8:R8"/>
    <x:mergeCell ref="L9:R12"/>
    <x:mergeCell ref="A8:G8"/>
    <x:mergeCell ref="A9:G9"/>
    <x:mergeCell ref="A10:G10"/>
    <x:mergeCell ref="A11:G11"/>
    <x:mergeCell ref="A12:G12"/>
    <x:mergeCell ref="A13:G13"/>
  </x:mergeCells>
  <x:conditionalFormatting sqref="O18:O33">
    <x:cfRule type="containsText" dxfId="0" priority="1" operator="containsText" text="GA"/>
  </x:conditionalFormatting>
  <x:pageMargins left="0.7" right="0.7" top="0.75" bottom="0.75" header="0.3" footer="0.3"/>
  <x:drawing xmlns:r="http://schemas.openxmlformats.org/officeDocument/2006/relationships" r:id="Rb9b43ff9647a4ecd"/>
  <x:tableParts count="1">
    <x:tablePart xmlns:r="http://schemas.openxmlformats.org/officeDocument/2006/relationships" r:id="Rc093c698ebb1479b"/>
  </x:tableParts>
</x:worksheet>
</file>

<file path=xl/worksheets/sheet4.xml><?xml version="1.0" encoding="utf-8"?>
<x:worksheet xmlns:x="http://schemas.openxmlformats.org/spreadsheetml/2006/main">
  <x:dimension ref="A1:B21"/>
  <x:sheetViews>
    <x:sheetView workbookViewId="0"/>
  </x:sheetViews>
  <x:sheetFormatPr defaultRowHeight="15"/>
  <x:cols>
    <x:col min="1" max="1" width="95" customWidth="1"/>
    <x:col min="2" max="2" width="60" customWidth="1"/>
  </x:cols>
  <x:sheetData>
    <x:row r="1" ht="30" customHeight="1">
      <x:c r="A1" s="294" t="inlineStr">
        <x:is>
          <x:t xml:space="preserve">Direct LLM vs Calibrated GA (RQ4)</x:t>
        </x:is>
      </x:c>
    </x:row>
    <x:row r="2" ht="40" customHeight="1">
      <x:c r="A2" s="295" t="inlineStr">
        <x:is>
          <x:t xml:space="preserve">Reproducibility workbook comparing the direct zero-shot LLM baseline with the calibrated GA on the sixteen held-out 2025 projects (RQ4, Section VI-D of the paper).</x:t>
        </x:is>
      </x:c>
    </x:row>
    <x:row r="3" ht="6" customHeight="1">
      <x:c r="A3" s="298"/>
    </x:row>
    <x:row r="4" ht="18" customHeight="1">
      <x:c r="A4" s="296" t="inlineStr">
        <x:is>
          <x:t xml:space="preserve">Workbook purpose and evidence scope</x:t>
        </x:is>
      </x:c>
    </x:row>
    <x:row r="5" ht="28" customHeight="1">
      <x:c r="A5" s="298" t="inlineStr">
        <x:is>
          <x:t xml:space="preserve">RQ4 asks whether the full elicitation-guided pipeline adds value over a direct, zero-shot Large Language Model baseline on the same sixteen held-out 2025 projects used in RQ3.</x:t>
        </x:is>
      </x:c>
    </x:row>
    <x:row r="6" ht="28" customHeight="1">
      <x:c r="A6" s="298" t="inlineStr">
        <x:is>
          <x:t xml:space="preserve">The LLM baseline used ChatGPT (operational label "GPT-5.6 Sol High", High reasoning) through the Web interface on 2026-08-27, given only anonymized developer records, the collaboration graph, and neutral project identifiers P1-P16 with prioritized technical requirements. Historical team membership for the sixteen target projects was removed to control leakage.</x:t>
        </x:is>
      </x:c>
    </x:row>
    <x:row r="7" ht="28" customHeight="1">
      <x:c r="A7" s="298" t="inlineStr">
        <x:is>
          <x:t xml:space="preserve">Three independent executions were run with the same fixed prompt. Response 1 was the first complete, structurally valid JSON response and was selected before any AE/AT/AC scoring, per the pre-specified selection rule. Response 2 was invalid JSON and discarded; Response 3 was valid but not used.</x:t>
        </x:is>
      </x:c>
    </x:row>
    <x:row r="8" ht="28" customHeight="1">
      <x:c r="A8" s="298" t="inlineStr">
        <x:is>
          <x:t xml:space="preserve">Quality for all sixteen selected LLM teams and all calibrated-GA runs was computed with the same surrogate AE evaluator used throughout the paper.</x:t>
        </x:is>
      </x:c>
    </x:row>
    <x:row r="9" ht="6" customHeight="1">
      <x:c r="A9" s="298"/>
    </x:row>
    <x:row r="10" ht="18" customHeight="1">
      <x:c r="A10" s="296" t="inlineStr">
        <x:is>
          <x:t xml:space="preserve">Worksheet guide</x:t>
        </x:is>
      </x:c>
    </x:row>
    <x:row r="11" ht="16" customHeight="1">
      <x:c r="A11" s="297" t="inlineStr">
        <x:is>
          <x:t xml:space="preserve">Worksheet</x:t>
        </x:is>
      </x:c>
      <x:c r="B11" s="297" t="inlineStr">
        <x:is>
          <x:t xml:space="preserve">Contents</x:t>
        </x:is>
      </x:c>
    </x:row>
    <x:row r="12" ht="26" customHeight="1">
      <x:c r="A12" s="298" t="inlineStr">
        <x:is>
          <x:t xml:space="preserve">LLM Results</x:t>
        </x:is>
      </x:c>
      <x:c r="B12" s="298" t="inlineStr">
        <x:is>
          <x:t xml:space="preserve">All fields recorded per project for the selected response_1 execution, exactly as computed by the surrogate evaluator (source: avaliacoes_llm_surrogate.csv).</x:t>
        </x:is>
      </x:c>
    </x:row>
    <x:row r="13" ht="26" customHeight="1">
      <x:c r="A13" s="298" t="inlineStr">
        <x:is>
          <x:t xml:space="preserve">GA Results</x:t>
        </x:is>
      </x:c>
      <x:c r="B13" s="298" t="inlineStr">
        <x:is>
          <x:t xml:space="preserve">Calibrated-GA backtest summary per project across 30 runs (source: resultados_backtest_ga_2025_resumo.csv, the same file underlying RQ3).</x:t>
        </x:is>
      </x:c>
    </x:row>
    <x:row r="14" ht="26" customHeight="1">
      <x:c r="A14" s="298" t="inlineStr">
        <x:is>
          <x:t xml:space="preserve">Comparison</x:t>
        </x:is>
      </x:c>
      <x:c r="B14" s="298" t="inlineStr">
        <x:is>
          <x:t xml:space="preserve">Aggregate method comparison, paired project-level statistics, and the two charts reproduced in the paper (formulas reference the two raw sheets above; no values are hard-typed).</x:t>
        </x:is>
      </x:c>
    </x:row>
    <x:row r="15" ht="26" customHeight="1">
      <x:c r="A15" s="298" t="inlineStr">
        <x:is>
          <x:t xml:space="preserve">Source Manifest</x:t>
        </x:is>
      </x:c>
      <x:c r="B15" s="298" t="inlineStr">
        <x:is>
          <x:t xml:space="preserve">Source paths, file types, sizes, row/column counts, and SHA-256 checksums for the files used to build this workbook.</x:t>
        </x:is>
      </x:c>
    </x:row>
    <x:row r="16" ht="6" customHeight="1">
      <x:c r="A16" s="298"/>
    </x:row>
    <x:row r="17" ht="18" customHeight="1">
      <x:c r="A17" s="296" t="inlineStr">
        <x:is>
          <x:t xml:space="preserve">Data preservation and provenance</x:t>
        </x:is>
      </x:c>
    </x:row>
    <x:row r="18" ht="26" customHeight="1">
      <x:c r="A18" s="298" t="inlineStr">
        <x:is>
          <x:t xml:space="preserve">No experimental value was corrected, rounded, reordered, filtered, or recomputed in the LLM Results or GA Results sheets. Column labels were translated to English; original Portuguese source field names are documented in the source files listed in Source Manifest.</x:t>
        </x:is>
      </x:c>
    </x:row>
    <x:row r="19" ht="26" customHeight="1">
      <x:c r="A19" s="298" t="inlineStr">
        <x:is>
          <x:t xml:space="preserve">Project names and identifiers are preserved verbatim as source identifiers. Developer identifiers (e.g., "Dev_178") and team-reason text are LLM-generated content copied verbatim from the selected response, not paraphrased.</x:t>
        </x:is>
      </x:c>
    </x:row>
    <x:row r="20" ht="26" customHeight="1">
      <x:c r="A20" s="298" t="inlineStr">
        <x:is>
          <x:t xml:space="preserve">Authoritative source roots: Experimento_LLM_NOVO_SEM_VAZAMENTO_DIRETO (LLM baseline) and "Experimento GA equipes reais 2025" (calibrated GA backtest, shared with RQ3).</x:t>
        </x:is>
      </x:c>
    </x:row>
    <x:row r="21" ht="30" customHeight="1">
      <x:c r="A21" s="299" t="inlineStr">
        <x:is>
          <x:t xml:space="preserve">Before public release, confirm that the source project names and any organization-identifying content in the LLM team-reason text are authorized for disclosure.</x:t>
        </x:is>
      </x:c>
    </x:row>
  </x:sheetData>
</x:worksheet>
</file>

<file path=xl/worksheets/sheet5.xml><?xml version="1.0" encoding="utf-8"?>
<x:worksheet xmlns:x="http://schemas.openxmlformats.org/spreadsheetml/2006/main">
  <x:dimension ref="A1:F10"/>
  <x:sheetViews>
    <x:sheetView workbookViewId="0">
      <x:pane ySplit="1" topLeftCell="A2" activePane="bottomLeft" state="frozen"/>
    </x:sheetView>
  </x:sheetViews>
  <x:sheetFormatPr defaultRowHeight="15"/>
  <x:cols>
    <x:col min="1" max="1" width="78" customWidth="1"/>
    <x:col min="2" max="2" width="8" customWidth="1"/>
    <x:col min="3" max="3" width="11" customWidth="1"/>
    <x:col min="4" max="4" width="8" customWidth="1"/>
    <x:col min="5" max="5" width="9" customWidth="1"/>
    <x:col min="6" max="6" width="68" customWidth="1"/>
  </x:cols>
  <x:sheetData>
    <x:row r="1">
      <x:c r="A1" s="297" t="inlineStr">
        <x:is>
          <x:t xml:space="preserve">Relative Source Path</x:t>
        </x:is>
      </x:c>
      <x:c r="B1" s="297" t="inlineStr">
        <x:is>
          <x:t xml:space="preserve">Type</x:t>
        </x:is>
      </x:c>
      <x:c r="C1" s="297" t="inlineStr">
        <x:is>
          <x:t xml:space="preserve">Bytes</x:t>
        </x:is>
      </x:c>
      <x:c r="D1" s="297" t="inlineStr">
        <x:is>
          <x:t xml:space="preserve">Rows</x:t>
        </x:is>
      </x:c>
      <x:c r="E1" s="297" t="inlineStr">
        <x:is>
          <x:t xml:space="preserve">Columns</x:t>
        </x:is>
      </x:c>
      <x:c r="F1" s="297" t="inlineStr">
        <x:is>
          <x:t xml:space="preserve">SHA-256</x:t>
        </x:is>
      </x:c>
    </x:row>
    <x:row r="2">
      <x:c r="A2" s="298" t="inlineStr">
        <x:is>
          <x:t xml:space="preserve">Experimento_LLM_NOVO_SEM_VAZAMENTO_DIRETO/avaliacoes_llm_surrogate.csv</x:t>
        </x:is>
      </x:c>
      <x:c r="B2" s="298" t="inlineStr">
        <x:is>
          <x:t xml:space="preserve">csv</x:t>
        </x:is>
      </x:c>
      <x:c r="C2" s="298" t="inlineStr">
        <x:is>
          <x:t xml:space="preserve">30681</x:t>
        </x:is>
      </x:c>
      <x:c r="D2" s="298" t="inlineStr">
        <x:is>
          <x:t xml:space="preserve">16</x:t>
        </x:is>
      </x:c>
      <x:c r="E2" s="298" t="inlineStr">
        <x:is>
          <x:t xml:space="preserve">62</x:t>
        </x:is>
      </x:c>
      <x:c r="F2" s="298" t="inlineStr">
        <x:is>
          <x:t xml:space="preserve">211e863523e6309f563c3082100e3c06b0d2d1006990a25aec7dff4ecdd57b97</x:t>
        </x:is>
      </x:c>
    </x:row>
    <x:row r="3">
      <x:c r="A3" s="298" t="inlineStr">
        <x:is>
          <x:t xml:space="preserve">Experimento_LLM_NOVO_SEM_VAZAMENTO_DIRETO/response_1_11m_36s_GPT5.6Sol_High.txt</x:t>
        </x:is>
      </x:c>
      <x:c r="B3" s="298" t="inlineStr">
        <x:is>
          <x:t xml:space="preserve">txt</x:t>
        </x:is>
      </x:c>
      <x:c r="C3" s="298" t="inlineStr">
        <x:is>
          <x:t xml:space="preserve">26419</x:t>
        </x:is>
      </x:c>
      <x:c r="D3" s="298"/>
      <x:c r="E3" s="298"/>
      <x:c r="F3" s="298" t="inlineStr">
        <x:is>
          <x:t xml:space="preserve">0b65c455f40df8970fc4716aed707ea13a4b6230a92f6007cdb8abf5e660d47b</x:t>
        </x:is>
      </x:c>
    </x:row>
    <x:row r="4">
      <x:c r="A4" s="298" t="inlineStr">
        <x:is>
          <x:t xml:space="preserve">Experimento_LLM_NOVO_SEM_VAZAMENTO_DIRETO/response_2_5m_37s_GPT5.6Sol_High.txt</x:t>
        </x:is>
      </x:c>
      <x:c r="B4" s="298" t="inlineStr">
        <x:is>
          <x:t xml:space="preserve">txt</x:t>
        </x:is>
      </x:c>
      <x:c r="C4" s="298" t="inlineStr">
        <x:is>
          <x:t xml:space="preserve">31434</x:t>
        </x:is>
      </x:c>
      <x:c r="D4" s="298"/>
      <x:c r="E4" s="298"/>
      <x:c r="F4" s="298" t="inlineStr">
        <x:is>
          <x:t xml:space="preserve">6d26317ae0f4510135c3c1a70f4cd28e047d6071c002e00828fb9e1dec3fa761</x:t>
        </x:is>
      </x:c>
    </x:row>
    <x:row r="5">
      <x:c r="A5" s="298" t="inlineStr">
        <x:is>
          <x:t xml:space="preserve">Experimento_LLM_NOVO_SEM_VAZAMENTO_DIRETO/response_3_6m_17s_GPT5.6Sol_High.txt</x:t>
        </x:is>
      </x:c>
      <x:c r="B5" s="298" t="inlineStr">
        <x:is>
          <x:t xml:space="preserve">txt</x:t>
        </x:is>
      </x:c>
      <x:c r="C5" s="298" t="inlineStr">
        <x:is>
          <x:t xml:space="preserve">24938</x:t>
        </x:is>
      </x:c>
      <x:c r="D5" s="298"/>
      <x:c r="E5" s="298"/>
      <x:c r="F5" s="298" t="inlineStr">
        <x:is>
          <x:t xml:space="preserve">df25d188e9f5fb0b6e2b31668336510edb62a567b1db1140dc3566816f6fb41e</x:t>
        </x:is>
      </x:c>
    </x:row>
    <x:row r="6">
      <x:c r="A6" s="298" t="inlineStr">
        <x:is>
          <x:t xml:space="preserve">Experimento_LLM_NOVO_SEM_VAZAMENTO_DIRETO/prompt.txt</x:t>
        </x:is>
      </x:c>
      <x:c r="B6" s="298" t="inlineStr">
        <x:is>
          <x:t xml:space="preserve">txt</x:t>
        </x:is>
      </x:c>
      <x:c r="C6" s="298" t="inlineStr">
        <x:is>
          <x:t xml:space="preserve">3365</x:t>
        </x:is>
      </x:c>
      <x:c r="D6" s="298"/>
      <x:c r="E6" s="298"/>
      <x:c r="F6" s="298" t="inlineStr">
        <x:is>
          <x:t xml:space="preserve">245a35001358c2c5801ba9ebd0517113ff027ee6e43a564df1686939a5d72c35</x:t>
        </x:is>
      </x:c>
    </x:row>
    <x:row r="7">
      <x:c r="A7" s="298" t="inlineStr">
        <x:is>
          <x:t xml:space="preserve">Experimento_LLM_NOVO_SEM_VAZAMENTO_DIRETO/MANIFESTO_SANITIZACAO.json</x:t>
        </x:is>
      </x:c>
      <x:c r="B7" s="298" t="inlineStr">
        <x:is>
          <x:t xml:space="preserve">json</x:t>
        </x:is>
      </x:c>
      <x:c r="C7" s="298" t="inlineStr">
        <x:is>
          <x:t xml:space="preserve">2225</x:t>
        </x:is>
      </x:c>
      <x:c r="D7" s="298"/>
      <x:c r="E7" s="298"/>
      <x:c r="F7" s="298" t="inlineStr">
        <x:is>
          <x:t xml:space="preserve">4463769538ebec2d9a8924e9104ed3457129e803f87ddf2befd9583774d192c6</x:t>
        </x:is>
      </x:c>
    </x:row>
    <x:row r="8">
      <x:c r="A8" s="298" t="inlineStr">
        <x:is>
          <x:t xml:space="preserve">Experimento_LLM_NOVO_SEM_VAZAMENTO_DIRETO/RELATORIO_SELECAO_RESPOSTA_LLM.md</x:t>
        </x:is>
      </x:c>
      <x:c r="B8" s="298" t="inlineStr">
        <x:is>
          <x:t xml:space="preserve">md</x:t>
        </x:is>
      </x:c>
      <x:c r="C8" s="298" t="inlineStr">
        <x:is>
          <x:t xml:space="preserve">4290</x:t>
        </x:is>
      </x:c>
      <x:c r="D8" s="298"/>
      <x:c r="E8" s="298"/>
      <x:c r="F8" s="298" t="inlineStr">
        <x:is>
          <x:t xml:space="preserve">5bd90d4eb336790f3b1e45b7019d03324906011d8e1b07ea8a95e75c6102936f</x:t>
        </x:is>
      </x:c>
    </x:row>
    <x:row r="9">
      <x:c r="A9" s="298" t="inlineStr">
        <x:is>
          <x:t xml:space="preserve">Experimento_LLM_NOVO_SEM_VAZAMENTO_DIRETO/target_projects.json</x:t>
        </x:is>
      </x:c>
      <x:c r="B9" s="298" t="inlineStr">
        <x:is>
          <x:t xml:space="preserve">json</x:t>
        </x:is>
      </x:c>
      <x:c r="C9" s="298" t="inlineStr">
        <x:is>
          <x:t xml:space="preserve">28060</x:t>
        </x:is>
      </x:c>
      <x:c r="D9" s="298"/>
      <x:c r="E9" s="298"/>
      <x:c r="F9" s="298" t="inlineStr">
        <x:is>
          <x:t xml:space="preserve">86df409915293aeb422445ec950e953a9a5663f3a6243d142c114544bfa2a282</x:t>
        </x:is>
      </x:c>
    </x:row>
    <x:row r="10">
      <x:c r="A10" s="298" t="inlineStr">
        <x:is>
          <x:t xml:space="preserve">Experimento GA equipes reais 2025/resultados_backtest_ga_2025_resumo.csv</x:t>
        </x:is>
      </x:c>
      <x:c r="B10" s="298" t="inlineStr">
        <x:is>
          <x:t xml:space="preserve">csv</x:t>
        </x:is>
      </x:c>
      <x:c r="C10" s="298" t="inlineStr">
        <x:is>
          <x:t xml:space="preserve">5202</x:t>
        </x:is>
      </x:c>
      <x:c r="D10" s="298" t="inlineStr">
        <x:is>
          <x:t xml:space="preserve">16</x:t>
        </x:is>
      </x:c>
      <x:c r="E10" s="298" t="inlineStr">
        <x:is>
          <x:t xml:space="preserve">28</x:t>
        </x:is>
      </x:c>
      <x:c r="F10" s="298" t="inlineStr">
        <x:is>
          <x:t xml:space="preserve">8b1e254b4d72ec0f81277a7c3c1f67731edc1c598d409efab11a6ed4357292dc</x:t>
        </x:is>
      </x:c>
    </x:row>
  </x:sheetData>
</x:worksheet>
</file>