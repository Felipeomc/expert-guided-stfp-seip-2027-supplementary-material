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Comparisons" sheetId="3" state="visible" r:id="rId3"/>
    <sheet xmlns:r="http://schemas.openxmlformats.org/officeDocument/2006/relationships" name="Comparison Origins" sheetId="4" state="visible" r:id="rId4"/>
    <sheet xmlns:r="http://schemas.openxmlformats.org/officeDocument/2006/relationships" name="Acceptability" sheetId="5" state="visible" r:id="rId5"/>
    <sheet xmlns:r="http://schemas.openxmlformats.org/officeDocument/2006/relationships" name="Source Manifest"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8"/>
    </font>
    <font>
      <name val="Calibri"/>
      <color rgb="FF1F2937"/>
      <sz val="10"/>
    </font>
    <font>
      <name val="Calibri"/>
      <b val="1"/>
      <color rgb="FF1F3B63"/>
      <sz val="11"/>
    </font>
    <font>
      <name val="Calibri"/>
      <color rgb="FF1F2937"/>
      <sz val="9"/>
    </font>
    <font>
      <name val="Calibri"/>
      <b val="1"/>
      <color rgb="FFFFFFFF"/>
      <sz val="9"/>
    </font>
    <font>
      <b val="1"/>
      <sz val="9"/>
    </font>
  </fonts>
  <fills count="6">
    <fill>
      <patternFill/>
    </fill>
    <fill>
      <patternFill patternType="gray125"/>
    </fill>
    <fill>
      <patternFill patternType="solid">
        <fgColor rgb="FF1F3B63"/>
      </patternFill>
    </fill>
    <fill>
      <patternFill patternType="solid">
        <fgColor rgb="FFF2F4F7"/>
      </patternFill>
    </fill>
    <fill>
      <patternFill patternType="solid">
        <fgColor rgb="FFD9EAF7"/>
      </patternFill>
    </fill>
    <fill>
      <patternFill patternType="solid">
        <fgColor rgb="FFFCE4D6"/>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top" wrapText="1"/>
    </xf>
    <xf numFmtId="0" fontId="0" fillId="3" borderId="0" pivotButton="0" quotePrefix="0" xfId="0"/>
    <xf numFmtId="0" fontId="3" fillId="4" borderId="0" pivotButton="0" quotePrefix="0" xfId="0"/>
    <xf numFmtId="0" fontId="0" fillId="4"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4" fillId="0" borderId="0" pivotButton="0" quotePrefix="0" xfId="0"/>
    <xf numFmtId="0" fontId="4" fillId="5" borderId="0" applyAlignment="1" pivotButton="0" quotePrefix="0" xfId="0">
      <alignment vertical="top" wrapText="1"/>
    </xf>
    <xf numFmtId="0" fontId="0" fillId="5" borderId="0" pivotButton="0" quotePrefix="0" xfId="0"/>
    <xf numFmtId="0" fontId="3" fillId="0" borderId="0" pivotButton="0" quotePrefix="0" xfId="0"/>
    <xf numFmtId="0" fontId="6" fillId="0" borderId="0" pivotButton="0" quotePrefix="0" xfId="0"/>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Calibrated GA vs. Historical Team (16 projects)</a:t>
            </a:r>
          </a:p>
        </rich>
      </tx>
    </title>
    <plotArea>
      <barChart>
        <barDir val="col"/>
        <grouping val="clustered"/>
        <ser>
          <idx val="0"/>
          <order val="0"/>
          <tx>
            <strRef>
              <f>'Summary'!B5</f>
            </strRef>
          </tx>
          <spPr>
            <a:solidFill xmlns:a="http://schemas.openxmlformats.org/drawingml/2006/main">
              <a:srgbClr val="FF9AA5B1"/>
            </a:solidFill>
            <a:ln xmlns:a="http://schemas.openxmlformats.org/drawingml/2006/main">
              <a:prstDash val="solid"/>
            </a:ln>
          </spPr>
          <cat>
            <numRef>
              <f>'Summary'!$A$6:$A$8</f>
            </numRef>
          </cat>
          <val>
            <numRef>
              <f>'Summary'!$B$6:$B$8</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Projects</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Calibrated GA vs. GA_uniform (12 projects)</a:t>
            </a:r>
          </a:p>
        </rich>
      </tx>
    </title>
    <plotArea>
      <barChart>
        <barDir val="col"/>
        <grouping val="clustered"/>
        <ser>
          <idx val="0"/>
          <order val="0"/>
          <tx>
            <strRef>
              <f>'Summary'!B11</f>
            </strRef>
          </tx>
          <spPr>
            <a:solidFill xmlns:a="http://schemas.openxmlformats.org/drawingml/2006/main">
              <a:srgbClr val="FF9AA5B1"/>
            </a:solidFill>
            <a:ln xmlns:a="http://schemas.openxmlformats.org/drawingml/2006/main">
              <a:prstDash val="solid"/>
            </a:ln>
          </spPr>
          <cat>
            <numRef>
              <f>'Summary'!$A$12:$A$14</f>
            </numRef>
          </cat>
          <val>
            <numRef>
              <f>'Summary'!$B$12:$B$14</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Projects</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Acceptability of Calibrated-GA Teams (16 teams)</a:t>
            </a:r>
          </a:p>
        </rich>
      </tx>
    </title>
    <plotArea>
      <barChart>
        <barDir val="col"/>
        <grouping val="clustered"/>
        <ser>
          <idx val="0"/>
          <order val="0"/>
          <tx>
            <strRef>
              <f>'Summary'!B17</f>
            </strRef>
          </tx>
          <spPr>
            <a:solidFill xmlns:a="http://schemas.openxmlformats.org/drawingml/2006/main">
              <a:srgbClr val="FF2F6EA6"/>
            </a:solidFill>
            <a:ln xmlns:a="http://schemas.openxmlformats.org/drawingml/2006/main">
              <a:prstDash val="solid"/>
            </a:ln>
          </spPr>
          <cat>
            <numRef>
              <f>'Summary'!$A$18:$A$20</f>
            </numRef>
          </cat>
          <val>
            <numRef>
              <f>'Summary'!$B$18:$B$20</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Teams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23</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46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40</row>
      <rowOff>0</rowOff>
    </from>
    <ext cx="46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95" customWidth="1" min="1" max="1"/>
    <col width="60" customWidth="1" min="2" max="2"/>
  </cols>
  <sheetData>
    <row r="1" ht="30" customHeight="1">
      <c r="A1" s="1" t="inlineStr">
        <is>
          <t>RQ5: Blinded Practitioner Validation</t>
        </is>
      </c>
      <c r="B1" s="2" t="n"/>
      <c r="C1" s="2" t="n"/>
      <c r="D1" s="2" t="n"/>
      <c r="E1" s="2" t="n"/>
      <c r="F1" s="2" t="n"/>
      <c r="G1" s="2" t="n"/>
      <c r="H1" s="2" t="n"/>
    </row>
    <row r="2" ht="40" customHeight="1">
      <c r="A2" s="3" t="inlineStr">
        <is>
          <t>Reproducibility workbook for the blinded pairwise comparisons and isolated acceptability judgements the staffing authority made over the sixteen held-out 2025 projects (RQ5, Section VI-E of the paper). Formative TeamPlus follow-up evidence is reported separately in 08_RQ5_TeamPlus_Followup.xlsx.</t>
        </is>
      </c>
      <c r="B2" s="4" t="n"/>
      <c r="C2" s="4" t="n"/>
      <c r="D2" s="4" t="n"/>
      <c r="E2" s="4" t="n"/>
      <c r="F2" s="4" t="n"/>
      <c r="G2" s="4" t="n"/>
      <c r="H2" s="4" t="n"/>
    </row>
    <row r="4">
      <c r="A4" s="5" t="inlineStr">
        <is>
          <t>Workbook purpose and evidence scope</t>
        </is>
      </c>
      <c r="B4" s="6" t="n"/>
      <c r="C4" s="6" t="n"/>
      <c r="D4" s="6" t="n"/>
      <c r="E4" s="6" t="n"/>
      <c r="F4" s="6" t="n"/>
      <c r="G4" s="6" t="n"/>
      <c r="H4" s="6" t="n"/>
    </row>
    <row r="5" ht="48" customHeight="1">
      <c r="A5" s="7" t="inlineStr">
        <is>
          <t>The staffing authority judged anonymized candidate teams without seeing condition labels, AT, AC, AE, or method provenance. Two tasks were retained: (1) blinded pairwise comparisons of the calibrated-GA team against the historical team and, when compositionally different, against GA_uniform; (2) an isolated acceptability judgement for each of the sixteen calibrated-GA teams (staffable as-is / with minor adjustments / not at all).</t>
        </is>
      </c>
    </row>
    <row r="6" ht="48" customHeight="1">
      <c r="A6" s="7" t="inlineStr">
        <is>
          <t>The original blinded comparison workbook contained 53 rows: one illustrative EXAMPLE plus 52 real blinded comparisons, mixing three comparator types (calibrated GA vs. historical team, calibrated GA vs. GA_uniform, and calibrated GA vs. a direct-LLM team) because the same blinded workbook format was reused across RQ4/RQ5 data collection. The direct-LLM baseline underlying these 19 GA-calibrated-vs-LLM rows was confirmed contaminated by the authors, so those 19 rows were removed entirely from this workbook (not merely excluded from tallies). The "Comparisons" and "Comparison Origins" sheets below therefore contain the remaining 33 real rows (plus the illustrative EXAMPLE row in "Comparisons"): 19 historical-comparison rows and 14 GA_uniform-comparison rows -- matching the paper's retained design exactly.</t>
        </is>
      </c>
    </row>
    <row r="7" ht="48" customHeight="1">
      <c r="A7" s="7" t="inlineStr">
        <is>
          <t>The "Comparison Origins" sheet is the decoded cross-reference that identifies which anonymized team code (e.g. "T-9473") corresponds to which condition (historical team / calibrated GA / GA_uniform) for each remaining row, by matching each roster's developer-ID set against the known team compositions from the RQ2-RQ4 source files. It also flags which rows are repeated presentations of the same underlying composition pair (for within-participant consistency checks) and whether repeated presentations agreed.</t>
        </is>
      </c>
    </row>
    <row r="8" ht="48" customHeight="1">
      <c r="A8" s="7" t="inlineStr">
        <is>
          <t>The retained 33 rows split into exactly 19 historical-comparison rows (16 unique projects, 3 with a repeated presentation) and 14 GA_uniform-comparison rows (12 unique projects, 2 with a repeated presentation). The resulting win/tie/loss counts (3/12/1 vs. historical; 2/5/5 vs. GA_uniform) and the acceptability counts (9/3/4) were independently recomputed here from the raw sources and match the paper's Table V exactly.</t>
        </is>
      </c>
    </row>
    <row r="10">
      <c r="A10" s="5" t="inlineStr">
        <is>
          <t>Worksheet guide</t>
        </is>
      </c>
      <c r="B10" s="6" t="n"/>
      <c r="C10" s="6" t="n"/>
      <c r="D10" s="6" t="n"/>
      <c r="E10" s="6" t="n"/>
      <c r="F10" s="6" t="n"/>
      <c r="G10" s="6" t="n"/>
      <c r="H10" s="6" t="n"/>
    </row>
    <row r="11">
      <c r="A11" s="8" t="inlineStr">
        <is>
          <t>Worksheet</t>
        </is>
      </c>
      <c r="B11" s="8" t="inlineStr">
        <is>
          <t>Contents</t>
        </is>
      </c>
    </row>
    <row r="12" ht="40" customHeight="1">
      <c r="A12" s="9" t="inlineStr">
        <is>
          <t>Summary</t>
        </is>
      </c>
      <c r="B12" s="9" t="inlineStr">
        <is>
          <t>Independently recomputed comparison and acceptability tables (matching the paper's Table V exactly), with charts and interpretation.</t>
        </is>
      </c>
    </row>
    <row r="13" ht="40" customHeight="1">
      <c r="A13" s="9" t="inlineStr">
        <is>
          <t>Comparisons</t>
        </is>
      </c>
      <c r="B13" s="9" t="inlineStr">
        <is>
          <t>The 34 retained rows (1 example + 33 real: 19 vs. historical, 14 vs. GA_uniform) of the blinded pairwise-comparison workbook, exactly as presented to and answered by the participant, including full technical/collaboration indicator text. The 19 GA-calibrated-vs-LLM rows were removed (contaminated LLM baseline; source before removal: comparacoes_modelo.csv).</t>
        </is>
      </c>
    </row>
    <row r="14" ht="40" customHeight="1">
      <c r="A14" s="9" t="inlineStr">
        <is>
          <t>Comparison Origins</t>
        </is>
      </c>
      <c r="B14" s="9" t="inlineStr">
        <is>
          <t>The decoded condition (historical/calibrated-GA/GA_uniform) for each side of the 33 retained comparisons, plus repeated-presentation grouping and consistency flags (source before removal: resultados_especialista_e_bn_surrogate (1).xlsx, sheet "Escolhas do especialista").</t>
        </is>
      </c>
    </row>
    <row r="15" ht="40" customHeight="1">
      <c r="A15" s="9" t="inlineStr">
        <is>
          <t>Acceptability</t>
        </is>
      </c>
      <c r="B15" s="9" t="inlineStr">
        <is>
          <t>All 17 rows (1 example + 16 real) of the isolated acceptability workbook for the calibrated-GA teams, exactly as presented and answered (source: [TFP] expert_study_workbook - Acceptability.csv).</t>
        </is>
      </c>
    </row>
    <row r="16" ht="40" customHeight="1">
      <c r="A16" s="9" t="inlineStr">
        <is>
          <t>Source Manifest</t>
        </is>
      </c>
      <c r="B16" s="9" t="inlineStr">
        <is>
          <t>Source paths, sizes, row/column counts, and SHA-256 checksums.</t>
        </is>
      </c>
    </row>
    <row r="18">
      <c r="A18" s="5" t="inlineStr">
        <is>
          <t>Data preservation and provenance</t>
        </is>
      </c>
      <c r="B18" s="6" t="n"/>
      <c r="C18" s="6" t="n"/>
      <c r="D18" s="6" t="n"/>
      <c r="E18" s="6" t="n"/>
      <c r="F18" s="6" t="n"/>
      <c r="G18" s="6" t="n"/>
      <c r="H18" s="6" t="n"/>
    </row>
    <row r="19" ht="42" customHeight="1">
      <c r="A19" s="7" t="inlineStr">
        <is>
          <t>Deliberate exclusion (explicit author confirmation, not a preservation violation): 19 of the 52 real blinded-comparison rows pitted the calibrated GA against a direct-LLM team from a run of the LLM baseline that the authors confirmed was contaminated. Those 19 rows (IDs C002, C003, C008, C009, C016, C019, C020, C021, C024, C025, C029, C030, C035, C036, C040, C041, C044, C046, C051) were removed entirely from the Comparisons and Comparison Origins sheets in this workbook, rather than merely excluded from tallies. This is separate from, and in addition to, the RQ4 direct-LLM baseline reported in 06_RQ4_Direct_LLM_vs_Calibrated_GA.xlsx, which uses an unrelated, leakage-controlled LLM run.</t>
        </is>
      </c>
    </row>
    <row r="20" ht="42" customHeight="1">
      <c r="A20" s="7" t="inlineStr">
        <is>
          <t>No experimental value among the retained 33 real rows was corrected, rounded, reordered, or recomputed in the Comparisons, Comparison Origins, or Acceptability raw sheets. Multi-line indicator text (technical coverage, redundancy, collaboration bars) is preserved verbatim, including its original line breaks.</t>
        </is>
      </c>
    </row>
    <row r="21" ht="42" customHeight="1">
      <c r="A21" s="7" t="inlineStr">
        <is>
          <t>Developer identifiers (e.g., "Dev370", "Nilo-467") and anonymized team codes (e.g., "T-9473") are preserved verbatim as source identifiers. The same underlying team may appear under a different anonymized code across repeated presentations; this is an artifact of the blinding procedure re-randomizing codes, not a data error, and is documented in the Comparison Origins sheet.</t>
        </is>
      </c>
    </row>
    <row r="22" ht="42" customHeight="1">
      <c r="A22" s="7" t="inlineStr">
        <is>
          <t>The P9 GA_uniform comparison is genuinely inconsistent across its two raw repeated presentations (Equivalent in C011, GA_uniform chosen in C034). Per the paper (Section VI-E-5 / Results), this was resolved through a recorded member-check to "Equivalent"; the Summary sheet applies that documented resolution explicitly and the raw rows themselves are left unmodified.</t>
        </is>
      </c>
    </row>
    <row r="23" ht="42" customHeight="1">
      <c r="A23" s="7" t="inlineStr">
        <is>
          <t>The response-text variants "Yes with minor changes" and "Yes, with minor changes" both occur verbatim in the source acceptability file (with and without a comma) and are treated as the same category in the Summary tally; both raw strings are preserved as-is in the Acceptability sheet.</t>
        </is>
      </c>
    </row>
    <row r="24" ht="42" customHeight="1">
      <c r="A24" s="7" t="inlineStr">
        <is>
          <t>Authoritative source roots: validação final expert (raw comparison/acceptability workbooks) and REPOSITÓRIOS DOS EXPERIMENTOS (decoded condition cross-reference).</t>
        </is>
      </c>
    </row>
    <row r="25" ht="28" customHeight="1">
      <c r="A25" s="10" t="inlineStr">
        <is>
          <t>This source folder also contains a recorded workshop video, full developer competence/collaboration records, and other RQ5 working files. Before public release, confirm that developer identifiers, project descriptions, free-text comments, and any organization-identifying content are authorized for disclosure.</t>
        </is>
      </c>
      <c r="B25" s="11" t="n"/>
      <c r="C25" s="11" t="n"/>
      <c r="D25" s="11" t="n"/>
      <c r="E25" s="11" t="n"/>
      <c r="F25" s="11" t="n"/>
      <c r="G25" s="11" t="n"/>
      <c r="H25" s="11" t="n"/>
    </row>
  </sheetData>
  <mergeCells count="16">
    <mergeCell ref="A1:H1"/>
    <mergeCell ref="A4:H4"/>
    <mergeCell ref="A18:H18"/>
    <mergeCell ref="A21:H21"/>
    <mergeCell ref="A7:H7"/>
    <mergeCell ref="A25:H25"/>
    <mergeCell ref="A20:H20"/>
    <mergeCell ref="A24:H24"/>
    <mergeCell ref="A2:H2"/>
    <mergeCell ref="A10:H10"/>
    <mergeCell ref="A19:H19"/>
    <mergeCell ref="A5:H5"/>
    <mergeCell ref="A23:H23"/>
    <mergeCell ref="A8:H8"/>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2" customWidth="1" min="1" max="1"/>
    <col width="16" customWidth="1" min="2" max="2"/>
    <col width="10" customWidth="1" min="3" max="3"/>
  </cols>
  <sheetData>
    <row r="1" ht="30" customHeight="1">
      <c r="A1" s="1" t="inlineStr">
        <is>
          <t>12 of 16 Calibrated-GA Teams Were Practically Acceptable, but Pairwise Preference Favored Historical Teams</t>
        </is>
      </c>
      <c r="B1" s="2" t="n"/>
      <c r="C1" s="2" t="n"/>
      <c r="D1" s="2" t="n"/>
      <c r="E1" s="2" t="n"/>
      <c r="F1" s="2" t="n"/>
      <c r="G1" s="2" t="n"/>
      <c r="H1" s="2" t="n"/>
    </row>
    <row r="2" ht="40" customHeight="1">
      <c r="A2" s="3" t="inlineStr">
        <is>
          <t>All tables below are independently recomputed from the raw Comparisons, Comparison Origins, and Acceptability sheets, applying only the paper's documented exclusion (LLM-involving rows) and its documented P9 member-check resolution.</t>
        </is>
      </c>
      <c r="B2" s="4" t="n"/>
      <c r="C2" s="4" t="n"/>
      <c r="D2" s="4" t="n"/>
      <c r="E2" s="4" t="n"/>
      <c r="F2" s="4" t="n"/>
      <c r="G2" s="4" t="n"/>
      <c r="H2" s="4" t="n"/>
    </row>
    <row r="4">
      <c r="A4" s="12" t="inlineStr">
        <is>
          <t>Comparison: Calibrated GA vs. Historical Team (16 unique projects, 19 rows incl. 3 repeats)</t>
        </is>
      </c>
    </row>
    <row r="5">
      <c r="A5" s="8" t="inlineStr">
        <is>
          <t>Outcome</t>
        </is>
      </c>
      <c r="B5" s="8" t="inlineStr">
        <is>
          <t>Projects (of 16)</t>
        </is>
      </c>
      <c r="C5" s="8" t="inlineStr">
        <is>
          <t>Share</t>
        </is>
      </c>
    </row>
    <row r="6">
      <c r="A6" s="9" t="inlineStr">
        <is>
          <t>Calibrated GA selected</t>
        </is>
      </c>
      <c r="B6" s="9" t="n">
        <v>3</v>
      </c>
      <c r="C6" s="9" t="n">
        <v>18.8</v>
      </c>
    </row>
    <row r="7">
      <c r="A7" s="9" t="inlineStr">
        <is>
          <t>Equivalent</t>
        </is>
      </c>
      <c r="B7" s="9" t="n">
        <v>1</v>
      </c>
      <c r="C7" s="9" t="n">
        <v>6.2</v>
      </c>
    </row>
    <row r="8">
      <c r="A8" s="9" t="inlineStr">
        <is>
          <t>Historical team selected</t>
        </is>
      </c>
      <c r="B8" s="9" t="n">
        <v>12</v>
      </c>
      <c r="C8" s="9" t="n">
        <v>75</v>
      </c>
    </row>
    <row r="10">
      <c r="A10" s="12" t="inlineStr">
        <is>
          <t>Comparison: Calibrated GA vs. GA_uniform (12 unique projects, 14 rows incl. 2 repeats; 4 more projects had identical compositions and were not shown)</t>
        </is>
      </c>
    </row>
    <row r="11">
      <c r="A11" s="8" t="inlineStr">
        <is>
          <t>Outcome</t>
        </is>
      </c>
      <c r="B11" s="8" t="inlineStr">
        <is>
          <t>Projects (of 12)</t>
        </is>
      </c>
      <c r="C11" s="8" t="inlineStr">
        <is>
          <t>Share</t>
        </is>
      </c>
    </row>
    <row r="12">
      <c r="A12" s="9" t="inlineStr">
        <is>
          <t>Calibrated GA selected</t>
        </is>
      </c>
      <c r="B12" s="9" t="n">
        <v>2</v>
      </c>
      <c r="C12" s="9" t="n">
        <v>16.7</v>
      </c>
    </row>
    <row r="13">
      <c r="A13" s="9" t="inlineStr">
        <is>
          <t>Equivalent</t>
        </is>
      </c>
      <c r="B13" s="9" t="n">
        <v>5</v>
      </c>
      <c r="C13" s="9" t="n">
        <v>41.7</v>
      </c>
    </row>
    <row r="14">
      <c r="A14" s="9" t="inlineStr">
        <is>
          <t>GA_uniform selected</t>
        </is>
      </c>
      <c r="B14" s="9" t="n">
        <v>5</v>
      </c>
      <c r="C14" s="9" t="n">
        <v>41.7</v>
      </c>
    </row>
    <row r="16">
      <c r="A16" s="12" t="inlineStr">
        <is>
          <t>Isolated acceptability of the 16 calibrated-GA teams</t>
        </is>
      </c>
    </row>
    <row r="17">
      <c r="A17" s="8" t="inlineStr">
        <is>
          <t>Outcome</t>
        </is>
      </c>
      <c r="B17" s="8" t="inlineStr">
        <is>
          <t>Teams (of 16)</t>
        </is>
      </c>
      <c r="C17" s="8" t="inlineStr">
        <is>
          <t>Share</t>
        </is>
      </c>
    </row>
    <row r="18">
      <c r="A18" s="9" t="inlineStr">
        <is>
          <t>Staffable as-is</t>
        </is>
      </c>
      <c r="B18" s="9" t="n">
        <v>9</v>
      </c>
      <c r="C18" s="9" t="n">
        <v>56.2</v>
      </c>
    </row>
    <row r="19">
      <c r="A19" s="9" t="inlineStr">
        <is>
          <t>Staffable with minor changes</t>
        </is>
      </c>
      <c r="B19" s="9" t="n">
        <v>3</v>
      </c>
      <c r="C19" s="9" t="n">
        <v>18.8</v>
      </c>
    </row>
    <row r="20">
      <c r="A20" s="9" t="inlineStr">
        <is>
          <t>Not staffable</t>
        </is>
      </c>
      <c r="B20" s="9" t="n">
        <v>4</v>
      </c>
      <c r="C20" s="9" t="n">
        <v>25</v>
      </c>
    </row>
    <row r="21">
      <c r="A21" s="13" t="inlineStr">
        <is>
          <t>Practical acceptance (as-is + minor changes)</t>
        </is>
      </c>
      <c r="B21" s="13" t="n">
        <v>12</v>
      </c>
      <c r="C21" s="13" t="n">
        <v>75</v>
      </c>
    </row>
    <row r="23">
      <c r="A23" s="5" t="inlineStr">
        <is>
          <t>Interpretation</t>
        </is>
      </c>
      <c r="B23" s="6" t="n"/>
      <c r="C23" s="6" t="n"/>
      <c r="D23" s="6" t="n"/>
      <c r="E23" s="6" t="n"/>
      <c r="F23" s="6" t="n"/>
      <c r="G23" s="6" t="n"/>
      <c r="H23" s="6" t="n"/>
    </row>
    <row r="24" ht="48" customHeight="1">
      <c r="A24" s="7" t="inlineStr">
        <is>
          <t>The two evidence layers diverge. In isolation, 75.0% of calibrated-GA teams (12/16) were judged staffable as-is or with minor adjustments. In blinded pairwise judgement, the participant selected the calibrated GA over the historical team in only 3/16 unique comparisons and over GA_uniform in only 2/12, generally preferring the historical or uniform-GA alternative instead. Nine of sixteen projects had calibrated-GA and GA_uniform outputs that were either compositionally identical (4) or judged equivalent (5).</t>
        </is>
      </c>
    </row>
    <row r="25" ht="42" customHeight="1">
      <c r="A25" s="10" t="inlineStr">
        <is>
          <t>The historical comparison is affected by a requirement-reconstruction threat documented in the paper: 2025 project requirements were reconstructed from the historical team's own aggregate competences, which structurally guarantees historical technical coverage. This threat does not apply to the calibrated-vs-uniform comparison, since both GA conditions received identical requirements, candidates, and constraints.</t>
        </is>
      </c>
      <c r="B25" s="11" t="n"/>
      <c r="C25" s="11" t="n"/>
      <c r="D25" s="11" t="n"/>
      <c r="E25" s="11" t="n"/>
      <c r="F25" s="11" t="n"/>
      <c r="G25" s="11" t="n"/>
      <c r="H25" s="11" t="n"/>
    </row>
  </sheetData>
  <mergeCells count="5">
    <mergeCell ref="A25:H25"/>
    <mergeCell ref="A24:H24"/>
    <mergeCell ref="A2:H2"/>
    <mergeCell ref="A1:H1"/>
    <mergeCell ref="A23:H2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40"/>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9" customWidth="1" min="3" max="3"/>
    <col width="30" customWidth="1" min="4" max="4"/>
    <col width="40" customWidth="1" min="5" max="5"/>
    <col width="34" customWidth="1" min="6" max="6"/>
    <col width="9" customWidth="1" min="7" max="7"/>
    <col width="30" customWidth="1" min="8" max="8"/>
    <col width="40" customWidth="1" min="9" max="9"/>
    <col width="34" customWidth="1" min="10" max="10"/>
    <col width="12" customWidth="1" min="11" max="11"/>
    <col width="40" customWidth="1" min="12" max="12"/>
  </cols>
  <sheetData>
    <row r="1">
      <c r="A1" s="14" t="inlineStr">
        <is>
          <t>Judge ONLY technical fit and prior collaboration. Set aside availability, cost, seniority and client constraints — Q2 and Q3 are where those belong.</t>
        </is>
      </c>
      <c r="B1" s="11" t="n"/>
      <c r="C1" s="11" t="n"/>
      <c r="D1" s="11" t="n"/>
      <c r="E1" s="11" t="n"/>
      <c r="F1" s="11" t="n"/>
      <c r="G1" s="11" t="n"/>
      <c r="H1" s="11" t="n"/>
      <c r="I1" s="11" t="n"/>
      <c r="J1" s="11" t="n"/>
      <c r="K1" s="11" t="n"/>
      <c r="L1" s="11" t="n"/>
    </row>
    <row r="2">
      <c r="A2" s="8" t="inlineStr">
        <is>
          <t>Row</t>
        </is>
      </c>
      <c r="B2" s="8" t="inlineStr">
        <is>
          <t>Project</t>
        </is>
      </c>
      <c r="C2" s="8" t="inlineStr">
        <is>
          <t>Team A</t>
        </is>
      </c>
      <c r="D2" s="8" t="inlineStr">
        <is>
          <t>Team A - Roster</t>
        </is>
      </c>
      <c r="E2" s="8" t="inlineStr">
        <is>
          <t>Team A - Technical Indicators</t>
        </is>
      </c>
      <c r="F2" s="8" t="inlineStr">
        <is>
          <t>Team A - Collaboration Indicators</t>
        </is>
      </c>
      <c r="G2" s="8" t="inlineStr">
        <is>
          <t>Team B</t>
        </is>
      </c>
      <c r="H2" s="8" t="inlineStr">
        <is>
          <t>Team B - Roster</t>
        </is>
      </c>
      <c r="I2" s="8" t="inlineStr">
        <is>
          <t>Team B - Technical Indicators</t>
        </is>
      </c>
      <c r="J2" s="8" t="inlineStr">
        <is>
          <t>Team B - Collaboration Indicators</t>
        </is>
      </c>
      <c r="K2" s="8" t="inlineStr">
        <is>
          <t>Q1. Which Team Better Fits This Project?</t>
        </is>
      </c>
      <c r="L2" s="8" t="inlineStr">
        <is>
          <t>Q2. Anything You Would Add? (optional)</t>
        </is>
      </c>
    </row>
    <row r="3">
      <c r="A3" s="7" t="inlineStr">
        <is>
          <t>EXAMPLE</t>
        </is>
      </c>
      <c r="B3" s="7" t="inlineStr">
        <is>
          <t>P09</t>
        </is>
      </c>
      <c r="C3" s="7" t="inlineStr">
        <is>
          <t>T-4287</t>
        </is>
      </c>
      <c r="D3" s="7" t="inlineStr">
        <is>
          <t>Dev261, Dev481, Dev309, Dev156, Dev011, Dev255, Dev002</t>
        </is>
      </c>
      <c r="E3" s="7" t="inlineStr">
        <is>
          <t xml:space="preserve">TECHNICAL COVERAGE
MUST       4/4  ✓ COMPLETE
SHOULD   3/3  ✓ COMPLETE
COULD     2/3  ⚠ 1 MISSING
REDUNDANCY
⚠ 2/4 MUST covered by 2+ members
</t>
        </is>
      </c>
      <c r="F3" s="7" t="inlineStr">
        <is>
          <t xml:space="preserve">COLLABORATION
PAIRS          9/21  (42%)
████░░░░░░
SHARED PROJECTS
MEAN           1.0 per pair
WITH HISTORY   2.3 per pair
STRONGEST PAIR
8 shared projects
</t>
        </is>
      </c>
      <c r="G3" s="7" t="inlineStr">
        <is>
          <t>T-5435</t>
        </is>
      </c>
      <c r="H3" s="7" t="inlineStr">
        <is>
          <t>Dev460, Dev405, Dev341, Dev080, Dev505, Dev408, Dev464</t>
        </is>
      </c>
      <c r="I3" s="7" t="inlineStr">
        <is>
          <t>TECHNICAL COVERAGE
MUST       3/4  ⚠ 1 MISSING
SHOULD   3/3  ✓ COMPLETE
COULD     2/3  ⚠ 1 MISSING
MISSING MANDATORY REQUIREMENT
⚠ React (ecosystem)
REDUNDANCY
⚠ 1/4 MUST covered by 2+ members</t>
        </is>
      </c>
      <c r="J3" s="7" t="inlineStr">
        <is>
          <t xml:space="preserve">REGISTERED COLLABORATION
Pairs with history: 8/21 (38%)
████░░░░░░
Shared projects: 21 total
Mean among pairs with history: 2.6
Strongest-history pair: 8 project(s)
</t>
        </is>
      </c>
      <c r="K3" s="7" t="inlineStr">
        <is>
          <t>A</t>
        </is>
      </c>
      <c r="L3" s="7" t="inlineStr">
        <is>
          <t>A covers both MUST ecosystems; B is stronger on prior collaboration but I recall two of them were committed elsewhere.</t>
        </is>
      </c>
    </row>
    <row r="4">
      <c r="A4" s="7" t="inlineStr">
        <is>
          <t>C001</t>
        </is>
      </c>
      <c r="B4" s="7" t="inlineStr">
        <is>
          <t>P10</t>
        </is>
      </c>
      <c r="C4" s="7" t="inlineStr">
        <is>
          <t>T-9473</t>
        </is>
      </c>
      <c r="D4" s="7" t="inlineStr">
        <is>
          <t>Tom-183
Mila-27
Davi-290
Gabi-354
Mia-382
Nilo-402
Davi-615
Gabi-94</t>
        </is>
      </c>
      <c r="E4" s="7" t="inlineStr">
        <is>
          <t>TECHNICAL COVERAGE
MUST       1/1   ✓ COMPLETE
SHOULD   27/27   ✓ COMPLETE
COULD     72/72   ✓ COMPLETE
MANDATORY REQUIREMENTS
✓ Web — 8 member(s)
REDUNDANCY
✓ 1/1 MUST covered by 2+ members</t>
        </is>
      </c>
      <c r="F4" s="7" t="inlineStr">
        <is>
          <t>REGISTERED COLLABORATION
Pairs with history: 28/28 (100%)
██████████
Shared projects: 105 total
Mean among pairs with history: 3.8
Strongest-history pair: 8 project(s)</t>
        </is>
      </c>
      <c r="G4" s="7" t="inlineStr">
        <is>
          <t>T-5887</t>
        </is>
      </c>
      <c r="H4" s="7" t="inlineStr">
        <is>
          <t>Davi-615
Teo-257
Enzo-477
Gabi-94
Lino-496
Mia-382
Bela-492
Mila-27</t>
        </is>
      </c>
      <c r="I4" s="7" t="inlineStr">
        <is>
          <t>TECHNICAL COVERAGE
MUST       1/1   ✓ COMPLETE
SHOULD   26/27   ⚠ 1 MISSING
COULD     39/72   ⚠ 33 MISSING
MANDATORY REQUIREMENTS
✓ Web — 7 member(s)
REDUNDANCY
✓ 1/1 MUST covered by 2+ members</t>
        </is>
      </c>
      <c r="J4" s="7" t="inlineStr">
        <is>
          <t>REGISTERED COLLABORATION
Pairs with history: 28/28 (100%)
██████████
Shared projects: 128 total
Mean among pairs with history: 4.6
Strongest-history pair: 8 project(s)</t>
        </is>
      </c>
      <c r="K4" s="7" t="inlineStr">
        <is>
          <t>A</t>
        </is>
      </c>
      <c r="L4" s="7" t="inlineStr">
        <is>
          <t>Escolhi a equipe A por perfil mais equilibrado entre cobertura técnica e colaboração.</t>
        </is>
      </c>
    </row>
    <row r="5">
      <c r="A5" s="7" t="inlineStr">
        <is>
          <t>C004</t>
        </is>
      </c>
      <c r="B5" s="7" t="inlineStr">
        <is>
          <t>P4</t>
        </is>
      </c>
      <c r="C5" s="7" t="inlineStr">
        <is>
          <t>T-1128</t>
        </is>
      </c>
      <c r="D5" s="7" t="inlineStr">
        <is>
          <t>Gael-105
Nilo-142
Davi-225
Gabi-354
Tina-490
Nilo-532
Yuri-551
Nara-686
Tito-728</t>
        </is>
      </c>
      <c r="E5" s="7" t="inlineStr">
        <is>
          <t>TECHNICAL COVERAGE
MUST       2/2 CONFIRMED*   ✓ COMPLETE
SHOULD   17/17 CONFIRMED*   ✓ COMPLETE
COULD     79/79 CONFIRMED*   ✓ COMPLETE
MANDATORY REQUIREMENTS
✓ Web — ≥8 member(s)
✓ AWS — ≥8 member(s)
REDUNDANCY
✓ 2/2 MUST covered by 2+ members*</t>
        </is>
      </c>
      <c r="F5" s="7" t="inlineStr">
        <is>
          <t>REGISTERED COLLABORATION
Pairs with history: 36/36 (100%)
██████████
Shared projects: 50 total
Mean among pairs with history: 1.4
Strongest-history pair: 7 project(s)</t>
        </is>
      </c>
      <c r="G5" s="7" t="inlineStr">
        <is>
          <t>T-2703</t>
        </is>
      </c>
      <c r="H5" s="7" t="inlineStr">
        <is>
          <t>Bela-492
Teo-257
Lino-496
Gabi-94
Mia-382
Enzo-477
Mila-27
Jade-500
Davi-615</t>
        </is>
      </c>
      <c r="I5" s="7" t="inlineStr">
        <is>
          <t>TECHNICAL COVERAGE
MUST       2/2   ✓ COMPLETE
SHOULD   15/17   ⚠ 2 MISSING
COULD     43/79   ⚠ 36 MISSING
MANDATORY REQUIREMENTS
✓ Web — 8 member(s)
✓ AWS — 7 member(s)
REDUNDANCY
✓ 2/2 MUST covered by 2+ members</t>
        </is>
      </c>
      <c r="J5" s="7" t="inlineStr">
        <is>
          <t>REGISTERED COLLABORATION
Pairs with history: 36/36 (100%)
██████████
Shared projects: 184 total
Mean among pairs with history: 5.1
Strongest-history pair: 22 project(s)</t>
        </is>
      </c>
      <c r="K5" s="7" t="inlineStr">
        <is>
          <t>A</t>
        </is>
      </c>
      <c r="L5" s="7" t="inlineStr">
        <is>
          <t>Escolhi a equipe A por perfil mais equilibrado entre cobertura técnica e colaboração.</t>
        </is>
      </c>
    </row>
    <row r="6">
      <c r="A6" s="7" t="inlineStr">
        <is>
          <t>C005</t>
        </is>
      </c>
      <c r="B6" s="7" t="inlineStr">
        <is>
          <t>P14</t>
        </is>
      </c>
      <c r="C6" s="7" t="inlineStr">
        <is>
          <t>T-2098</t>
        </is>
      </c>
      <c r="D6" s="7" t="inlineStr">
        <is>
          <t>Rosa-359
Lara-220
Ivan-357
Eli-503</t>
        </is>
      </c>
      <c r="E6" s="7" t="inlineStr">
        <is>
          <t>TECHNICAL COVERAGE
MUST       4/4   ✓ COMPLETE
SHOULD   4/4   ✓ COMPLETE
COULD     23/45   ⚠ 22 MISSING
MANDATORY REQUIREMENTS
✓ Web — 4 member(s)
✓ Angular — 4 member(s)
✓ Progressive Web App (PWA) — 4 member(s)
✓ CSS — 3 member(s)
REDUNDANCY
✓ 4/4 MUST covered by 2+ members</t>
        </is>
      </c>
      <c r="F6" s="7" t="inlineStr">
        <is>
          <t>REGISTERED COLLABORATION
Pairs with history: 6/6 (100%)
██████████
Shared projects: 28 total
Mean among pairs with history: 4.7
Strongest-history pair: 6 project(s)</t>
        </is>
      </c>
      <c r="G6" s="7" t="inlineStr">
        <is>
          <t>T-5194</t>
        </is>
      </c>
      <c r="H6" s="7" t="inlineStr">
        <is>
          <t>Tito-468
Liz-637
Sam-705
Gabi-744</t>
        </is>
      </c>
      <c r="I6" s="7" t="inlineStr">
        <is>
          <t>TECHNICAL COVERAGE
MUST       4/4 CONFIRMED*   ✓ COMPLETE
SHOULD   4/4 CONFIRMED*   ✓ COMPLETE
COULD     45/45 CONFIRMED*   ✓ COMPLETE
MANDATORY REQUIREMENTS
✓ Web — ≥3 member(s)
✓ Angular — ≥3 member(s)
✓ Progressive Web App (PWA) — ≥3 member(s)
✓ CSS — ≥3 member(s)
REDUNDANCY
✓ 4/4 MUST covered by 2+ members*</t>
        </is>
      </c>
      <c r="J6" s="7" t="inlineStr">
        <is>
          <t>REGISTERED COLLABORATION
Pairs with history: 6/6 (100%)
██████████
Shared projects: 6 total
Mean among pairs with history: 1.0
Strongest-history pair: 1 project(s)</t>
        </is>
      </c>
      <c r="K6" s="7" t="inlineStr">
        <is>
          <t>A</t>
        </is>
      </c>
      <c r="L6" s="7" t="inlineStr">
        <is>
          <t>Escolhi a equipe A por histórico de colaboração mais consistente.</t>
        </is>
      </c>
    </row>
    <row r="7">
      <c r="A7" s="7" t="inlineStr">
        <is>
          <t>C006</t>
        </is>
      </c>
      <c r="B7" s="7" t="inlineStr">
        <is>
          <t>P4</t>
        </is>
      </c>
      <c r="C7" s="7" t="inlineStr">
        <is>
          <t>T-2703</t>
        </is>
      </c>
      <c r="D7" s="7" t="inlineStr">
        <is>
          <t>Bela-492
Teo-257
Lino-496
Gabi-94
Mia-382
Enzo-477
Mila-27
Jade-500
Davi-615</t>
        </is>
      </c>
      <c r="E7" s="7" t="inlineStr">
        <is>
          <t>TECHNICAL COVERAGE
MUST       2/2   ✓ COMPLETE
SHOULD   15/17   ⚠ 2 MISSING
COULD     43/79   ⚠ 36 MISSING
MANDATORY REQUIREMENTS
✓ Web — 8 member(s)
✓ AWS — 7 member(s)
REDUNDANCY
✓ 2/2 MUST covered by 2+ members</t>
        </is>
      </c>
      <c r="F7" s="7" t="inlineStr">
        <is>
          <t>REGISTERED COLLABORATION
Pairs with history: 36/36 (100%)
██████████
Shared projects: 184 total
Mean among pairs with history: 5.1
Strongest-history pair: 22 project(s)</t>
        </is>
      </c>
      <c r="G7" s="7" t="inlineStr">
        <is>
          <t>T-1128</t>
        </is>
      </c>
      <c r="H7" s="7" t="inlineStr">
        <is>
          <t>Gael-105
Nilo-142
Davi-225
Gabi-354
Tina-490
Nilo-532
Yuri-551
Nara-686
Tito-728</t>
        </is>
      </c>
      <c r="I7" s="7" t="inlineStr">
        <is>
          <t>TECHNICAL COVERAGE
MUST       2/2 CONFIRMED*   ✓ COMPLETE
SHOULD   17/17 CONFIRMED*   ✓ COMPLETE
COULD     79/79 CONFIRMED*   ✓ COMPLETE
MANDATORY REQUIREMENTS
✓ Web — ≥8 member(s)
✓ AWS — ≥8 member(s)
REDUNDANCY
✓ 2/2 MUST covered by 2+ members*</t>
        </is>
      </c>
      <c r="J7" s="7" t="inlineStr">
        <is>
          <t>REGISTERED COLLABORATION
Pairs with history: 36/36 (100%)
██████████
Shared projects: 50 total
Mean among pairs with history: 1.4
Strongest-history pair: 7 project(s)</t>
        </is>
      </c>
      <c r="K7" s="7" t="inlineStr">
        <is>
          <t>B</t>
        </is>
      </c>
      <c r="L7" s="7" t="inlineStr">
        <is>
          <t>Escolhi a equipe B por perfil mais equilibrado entre cobertura técnica e colaboração.</t>
        </is>
      </c>
    </row>
    <row r="8">
      <c r="A8" s="7" t="inlineStr">
        <is>
          <t>C007</t>
        </is>
      </c>
      <c r="B8" s="7" t="inlineStr">
        <is>
          <t>P8</t>
        </is>
      </c>
      <c r="C8" s="7" t="inlineStr">
        <is>
          <t>T-1457</t>
        </is>
      </c>
      <c r="D8" s="7" t="inlineStr">
        <is>
          <t>Jade-370
Ravi-398
Lara-415
Leo-336
Iris-81</t>
        </is>
      </c>
      <c r="E8" s="7" t="inlineStr">
        <is>
          <t>TECHNICAL COVERAGE
MUST       2/2   ✓ COMPLETE
SHOULD   17/18   ⚠ 1 MISSING
COULD     15/32   ⚠ 17 MISSING
MANDATORY REQUIREMENTS
✓ Web — 3 member(s)
✓ AWS — 2 member(s)
REDUNDANCY
✓ 2/2 MUST covered by 2+ members</t>
        </is>
      </c>
      <c r="F8" s="7" t="inlineStr">
        <is>
          <t>REGISTERED COLLABORATION
Pairs with history: 10/10 (100%)
██████████
Shared projects: 46 total
Mean among pairs with history: 4.6
Strongest-history pair: 6 project(s)</t>
        </is>
      </c>
      <c r="G8" s="7" t="inlineStr">
        <is>
          <t>T-7723</t>
        </is>
      </c>
      <c r="H8" s="7" t="inlineStr">
        <is>
          <t>Lara-415
Jade-370
Leo-336
Iris-81
Enzo-282</t>
        </is>
      </c>
      <c r="I8" s="7" t="inlineStr">
        <is>
          <t>TECHNICAL COVERAGE
MUST       2/2   ✓ COMPLETE
SHOULD   16/18   ⚠ 2 MISSING
COULD     15/32   ⚠ 17 MISSING
MANDATORY REQUIREMENTS
✓ Web — 4 member(s)
✓ AWS — 2 member(s)
REDUNDANCY
✓ 2/2 MUST covered by 2+ members</t>
        </is>
      </c>
      <c r="J8" s="7" t="inlineStr">
        <is>
          <t>REGISTERED COLLABORATION
Pairs with history: 10/10 (100%)
██████████
Shared projects: 54 total
Mean among pairs with history: 5.4
Strongest-history pair: 7 project(s)</t>
        </is>
      </c>
      <c r="K8" s="7" t="inlineStr">
        <is>
          <t>B</t>
        </is>
      </c>
      <c r="L8" s="7" t="inlineStr">
        <is>
          <t>Escolhi a equipe B por perfil mais equilibrado entre cobertura técnica e colaboração.</t>
        </is>
      </c>
    </row>
    <row r="9">
      <c r="A9" s="7" t="inlineStr">
        <is>
          <t>C010</t>
        </is>
      </c>
      <c r="B9" s="7" t="inlineStr">
        <is>
          <t>P3</t>
        </is>
      </c>
      <c r="C9" s="7" t="inlineStr">
        <is>
          <t>T-6676</t>
        </is>
      </c>
      <c r="D9" s="7" t="inlineStr">
        <is>
          <t>Lara-415
Jade-370
Enzo-282
Leo-336
Iris-211</t>
        </is>
      </c>
      <c r="E9" s="7" t="inlineStr">
        <is>
          <t>TECHNICAL COVERAGE
MUST       3/3   ✓ COMPLETE
SHOULD   6/15   ⚠ 9 MISSING
COULD     23/50   ⚠ 27 MISSING
MANDATORY REQUIREMENTS
✓ Cloud — 3 member(s)
✓ AWS — 2 member(s)
✓ Docker — 2 member(s)
REDUNDANCY
✓ 3/3 MUST covered by 2+ members</t>
        </is>
      </c>
      <c r="F9" s="7" t="inlineStr">
        <is>
          <t>REGISTERED COLLABORATION
Pairs with history: 9/10 (90%)
█████████░
Shared projects: 44 total
Mean among pairs with history: 4.9
Strongest-history pair: 7 project(s)</t>
        </is>
      </c>
      <c r="G9" s="7" t="inlineStr">
        <is>
          <t>T-4824</t>
        </is>
      </c>
      <c r="H9" s="7" t="inlineStr">
        <is>
          <t>Sol-241
Jo-453
Zeca-473
Zeca-538
Yara-82</t>
        </is>
      </c>
      <c r="I9" s="7" t="inlineStr">
        <is>
          <t>TECHNICAL COVERAGE
MUST       3/3   ✓ COMPLETE
SHOULD   15/15   ✓ COMPLETE
COULD     50/50   ✓ COMPLETE
MANDATORY REQUIREMENTS
✓ Cloud — 5 member(s)
✓ AWS — 5 member(s)
✓ Docker — 5 member(s)
REDUNDANCY
✓ 3/3 MUST covered by 2+ members</t>
        </is>
      </c>
      <c r="J9" s="7" t="inlineStr">
        <is>
          <t>REGISTERED COLLABORATION
Pairs with history: 10/10 (100%)
██████████
Shared projects: 28 total
Mean among pairs with history: 2.8
Strongest-history pair: 11 project(s)</t>
        </is>
      </c>
      <c r="K9" s="7" t="inlineStr">
        <is>
          <t>B</t>
        </is>
      </c>
      <c r="L9" s="7" t="inlineStr">
        <is>
          <t>Escolhi a equipe B por perfil mais equilibrado entre cobertura técnica e colaboração.</t>
        </is>
      </c>
    </row>
    <row r="10">
      <c r="A10" s="7" t="inlineStr">
        <is>
          <t>C011</t>
        </is>
      </c>
      <c r="B10" s="7" t="inlineStr">
        <is>
          <t>P9</t>
        </is>
      </c>
      <c r="C10" s="7" t="inlineStr">
        <is>
          <t>T-1384</t>
        </is>
      </c>
      <c r="D10" s="7" t="inlineStr">
        <is>
          <t>Davi-290
Mia-382
Gael-560
Teo-647
Gabi-484
Gabi-94</t>
        </is>
      </c>
      <c r="E10" s="7" t="inlineStr">
        <is>
          <t>TECHNICAL COVERAGE
MUST       — NOT DEFINED
SHOULD   4/5   ⚠ 1 MISSING
COULD     30/71   ⚠ 41 MISSING
MANDATORY REQUIREMENTS
No MUST requirement defined.
REDUNDANCY
Not applicable</t>
        </is>
      </c>
      <c r="F10" s="7" t="inlineStr">
        <is>
          <t>REGISTERED COLLABORATION
Pairs with history: 10/15 (67%)
███████░░░
Shared projects: 43 total
Mean among pairs with history: 4.3
Strongest-history pair: 6 project(s)</t>
        </is>
      </c>
      <c r="G10" s="7" t="inlineStr">
        <is>
          <t>T-8573</t>
        </is>
      </c>
      <c r="H10" s="7" t="inlineStr">
        <is>
          <t>Ravi-398
Enzo-282
Maya-335
Lara-415
Leo-336
Nilo-467</t>
        </is>
      </c>
      <c r="I10" s="7" t="inlineStr">
        <is>
          <t>TECHNICAL COVERAGE
MUST       — NOT DEFINED
SHOULD   4/5   ⚠ 1 MISSING
COULD     39/71   ⚠ 32 MISSING
MANDATORY REQUIREMENTS
No MUST requirement defined.
REDUNDANCY
Not applicable</t>
        </is>
      </c>
      <c r="J10" s="7" t="inlineStr">
        <is>
          <t>REGISTERED COLLABORATION
Pairs with history: 15/15 (100%)
██████████
Shared projects: 65 total
Mean among pairs with history: 4.3
Strongest-history pair: 7 project(s)</t>
        </is>
      </c>
      <c r="K10" s="7" t="inlineStr">
        <is>
          <t>B</t>
        </is>
      </c>
      <c r="L10" s="7" t="inlineStr">
        <is>
          <t>Escolhi a equipe B por histórico de colaboração mais consistente.</t>
        </is>
      </c>
    </row>
    <row r="11">
      <c r="A11" s="7" t="inlineStr">
        <is>
          <t>C012</t>
        </is>
      </c>
      <c r="B11" s="7" t="inlineStr">
        <is>
          <t>P2</t>
        </is>
      </c>
      <c r="C11" s="7" t="inlineStr">
        <is>
          <t>T-9068</t>
        </is>
      </c>
      <c r="D11" s="7" t="inlineStr">
        <is>
          <t>Tom-183
Mia-382
Gabi-94
Gael-560
Gabi-484
Nilo-402
Jade-500
Davi-290</t>
        </is>
      </c>
      <c r="E11" s="7" t="inlineStr">
        <is>
          <t>TECHNICAL COVERAGE
MUST       — NOT DEFINED
SHOULD   15/20   ⚠ 5 MISSING
COULD     32/57   ⚠ 25 MISSING
MANDATORY REQUIREMENTS
No MUST requirement defined.
REDUNDANCY
Not applicable</t>
        </is>
      </c>
      <c r="F11" s="7" t="inlineStr">
        <is>
          <t>REGISTERED COLLABORATION
Pairs with history: 28/28 (100%)
██████████
Shared projects: 126 total
Mean among pairs with history: 4.5
Strongest-history pair: 18 project(s)</t>
        </is>
      </c>
      <c r="G11" s="7" t="inlineStr">
        <is>
          <t>T-4526</t>
        </is>
      </c>
      <c r="H11" s="7" t="inlineStr">
        <is>
          <t>Nina-7
Davi-290
Gabi-484
Raul-33
Gabi-94
Gael-560
Mia-447
Nina-397</t>
        </is>
      </c>
      <c r="I11" s="7" t="inlineStr">
        <is>
          <t>TECHNICAL COVERAGE
MUST       — NOT DEFINED
SHOULD   11/20   ⚠ 9 MISSING
COULD     29/57   ⚠ 28 MISSING
MANDATORY REQUIREMENTS
No MUST requirement defined.
REDUNDANCY
Not applicable</t>
        </is>
      </c>
      <c r="J11" s="7" t="inlineStr">
        <is>
          <t>REGISTERED COLLABORATION
Pairs with history: 21/28 (75%)
████████░░
Shared projects: 89 total
Mean among pairs with history: 4.2
Strongest-history pair: 18 project(s)</t>
        </is>
      </c>
      <c r="K11" s="7" t="inlineStr">
        <is>
          <t>A</t>
        </is>
      </c>
      <c r="L11" s="7" t="inlineStr">
        <is>
          <t>Escolhi a equipe A por histórico de colaboração mais consistente.</t>
        </is>
      </c>
    </row>
    <row r="12">
      <c r="A12" s="7" t="inlineStr">
        <is>
          <t>C013</t>
        </is>
      </c>
      <c r="B12" s="7" t="inlineStr">
        <is>
          <t>P16</t>
        </is>
      </c>
      <c r="C12" s="7" t="inlineStr">
        <is>
          <t>T-9373</t>
        </is>
      </c>
      <c r="D12" s="7" t="inlineStr">
        <is>
          <t>Mia-317
Iris-81
Mel-316
Nilo-467
Lara-415
Jade-370
Ravi-398
Leo-336
Enzo-282</t>
        </is>
      </c>
      <c r="E12" s="7" t="inlineStr">
        <is>
          <t>TECHNICAL COVERAGE
MUST       — NOT DEFINED
SHOULD   10/12   ⚠ 2 MISSING
COULD     33/57   ⚠ 24 MISSING
MANDATORY REQUIREMENTS
No MUST requirement defined.
REDUNDANCY
Not applicable</t>
        </is>
      </c>
      <c r="F12" s="7" t="inlineStr">
        <is>
          <t>REGISTERED COLLABORATION
Pairs with history: 36/36 (100%)
██████████
Shared projects: 201 total
Mean among pairs with history: 5.6
Strongest-history pair: 12 project(s)</t>
        </is>
      </c>
      <c r="G12" s="7" t="inlineStr">
        <is>
          <t>T-9137</t>
        </is>
      </c>
      <c r="H12" s="7" t="inlineStr">
        <is>
          <t>Jade-500
Rita-65
Tom-183
Gael-560
Gabi-94
Zoe-181
Davi-290
Ceci-363
Mia-382</t>
        </is>
      </c>
      <c r="I12" s="7" t="inlineStr">
        <is>
          <t>TECHNICAL COVERAGE
MUST       — NOT DEFINED
SHOULD   11/12   ⚠ 1 MISSING
COULD     35/57   ⚠ 22 MISSING
MANDATORY REQUIREMENTS
No MUST requirement defined.
REDUNDANCY
Not applicable</t>
        </is>
      </c>
      <c r="J12" s="7" t="inlineStr">
        <is>
          <t>REGISTERED COLLABORATION
Pairs with history: 36/36 (100%)
██████████
Shared projects: 185 total
Mean among pairs with history: 5.1
Strongest-history pair: 23 project(s)</t>
        </is>
      </c>
      <c r="K12" s="7" t="inlineStr">
        <is>
          <t>B</t>
        </is>
      </c>
      <c r="L12" s="7" t="inlineStr">
        <is>
          <t>Escolhi a equipe B por perfil mais equilibrado entre cobertura técnica e colaboração.</t>
        </is>
      </c>
    </row>
    <row r="13">
      <c r="A13" s="7" t="inlineStr">
        <is>
          <t>C014</t>
        </is>
      </c>
      <c r="B13" s="7" t="inlineStr">
        <is>
          <t>P13</t>
        </is>
      </c>
      <c r="C13" s="7" t="inlineStr">
        <is>
          <t>T-2072</t>
        </is>
      </c>
      <c r="D13" s="7" t="inlineStr">
        <is>
          <t>Mel-316
Ian-700
Zoe-571
Caio-589</t>
        </is>
      </c>
      <c r="E13" s="7" t="inlineStr">
        <is>
          <t>TECHNICAL COVERAGE
MUST       4/4   ✓ COMPLETE
SHOULD   3/3   ✓ COMPLETE
COULD     2/8   ⚠ 6 MISSING
MANDATORY REQUIREMENTS
✓ Hardware — 4 member(s)
✓ NumPy — 2 member(s)
✓ C — 4 member(s)
✓ Python — 4 member(s)
REDUNDANCY
✓ 4/4 MUST covered by 2+ members</t>
        </is>
      </c>
      <c r="F13" s="7" t="inlineStr">
        <is>
          <t>REGISTERED COLLABORATION
Pairs with history: 6/6 (100%)
██████████
Shared projects: 26 total
Mean among pairs with history: 4.3
Strongest-history pair: 6 project(s)</t>
        </is>
      </c>
      <c r="G13" s="7" t="inlineStr">
        <is>
          <t>T-1559</t>
        </is>
      </c>
      <c r="H13" s="7" t="inlineStr">
        <is>
          <t>Caio-589
Jo-583
Miro-498
Ivo-720</t>
        </is>
      </c>
      <c r="I13" s="7" t="inlineStr">
        <is>
          <t>TECHNICAL COVERAGE
MUST       4/4   ✓ COMPLETE
SHOULD   3/3   ✓ COMPLETE
COULD     7/8   ⚠ 1 MISSING
MANDATORY REQUIREMENTS
✓ Hardware — 4 member(s)
✓ NumPy — 3 member(s)
✓ C — 4 member(s)
✓ Python — 4 member(s)
REDUNDANCY
✓ 4/4 MUST covered by 2+ members</t>
        </is>
      </c>
      <c r="J13" s="7" t="inlineStr">
        <is>
          <t>REGISTERED COLLABORATION
Pairs with history: 6/6 (100%)
██████████
Shared projects: 30 total
Mean among pairs with history: 5.0
Strongest-history pair: 6 project(s)</t>
        </is>
      </c>
      <c r="K13" s="7" t="inlineStr">
        <is>
          <t>B</t>
        </is>
      </c>
      <c r="L13" s="7" t="inlineStr">
        <is>
          <t>Escolhi a equipe B por perfil mais equilibrado entre cobertura técnica e colaboração.</t>
        </is>
      </c>
    </row>
    <row r="14">
      <c r="A14" s="7" t="inlineStr">
        <is>
          <t>C015</t>
        </is>
      </c>
      <c r="B14" s="7" t="inlineStr">
        <is>
          <t>P15</t>
        </is>
      </c>
      <c r="C14" s="7" t="inlineStr">
        <is>
          <t>T-9656</t>
        </is>
      </c>
      <c r="D14" s="7" t="inlineStr">
        <is>
          <t>Miro-563
Miro-498
Jo-583
Nilo-467
Ian-570</t>
        </is>
      </c>
      <c r="E14" s="7" t="inlineStr">
        <is>
          <t>TECHNICAL COVERAGE
MUST       — NOT DEFINED
SHOULD   10/23   ⚠ 13 MISSING
COULD     10/31   ⚠ 21 MISSING
MANDATORY REQUIREMENTS
No MUST requirement defined.
REDUNDANCY
Not applicable</t>
        </is>
      </c>
      <c r="F14" s="7" t="inlineStr">
        <is>
          <t>REGISTERED COLLABORATION
Pairs with history: 9/10 (90%)
█████████░
Shared projects: 37 total
Mean among pairs with history: 4.1
Strongest-history pair: 6 project(s)</t>
        </is>
      </c>
      <c r="G14" s="7" t="inlineStr">
        <is>
          <t>T-7475</t>
        </is>
      </c>
      <c r="H14" s="7" t="inlineStr">
        <is>
          <t>Liz-247
Ravi-398
Teo-582
Hugo-608
Sam-705</t>
        </is>
      </c>
      <c r="I14" s="7" t="inlineStr">
        <is>
          <t>TECHNICAL COVERAGE
MUST       — NOT DEFINED
SHOULD   23/23 CONFIRMED*   ✓ COMPLETE
COULD     31/31 CONFIRMED*   ✓ COMPLETE
MANDATORY REQUIREMENTS
No MUST requirement defined.
REDUNDANCY
Not applicable</t>
        </is>
      </c>
      <c r="J14" s="7" t="inlineStr">
        <is>
          <t>REGISTERED COLLABORATION
Pairs with history: 4/10 (40%)
████░░░░░░
Shared projects: 7 total
Mean among pairs with history: 1.8
Strongest-history pair: 3 project(s)</t>
        </is>
      </c>
      <c r="K14" s="7" t="inlineStr">
        <is>
          <t>A</t>
        </is>
      </c>
      <c r="L14" s="7" t="inlineStr">
        <is>
          <t>Escolhi a equipe A por histórico de colaboração mais consistente.</t>
        </is>
      </c>
    </row>
    <row r="15">
      <c r="A15" s="7" t="inlineStr">
        <is>
          <t>C017</t>
        </is>
      </c>
      <c r="B15" s="7" t="inlineStr">
        <is>
          <t>P1</t>
        </is>
      </c>
      <c r="C15" s="7" t="inlineStr">
        <is>
          <t>T-6473</t>
        </is>
      </c>
      <c r="D15" s="7" t="inlineStr">
        <is>
          <t>Luiz-324
Rosa-359
Ana-448
Jade-305
Gael-170
Hugo-543
Eli-503
Ana-578
Lara-220</t>
        </is>
      </c>
      <c r="E15" s="7" t="inlineStr">
        <is>
          <t>TECHNICAL COVERAGE
MUST       2/2   ✓ COMPLETE
SHOULD   13/13   ✓ COMPLETE
COULD     38/65   ⚠ 27 MISSING
MANDATORY REQUIREMENTS
✓ Mobile — 8 member(s)
✓ Web — 9 member(s)
REDUNDANCY
✓ 2/2 MUST covered by 2+ members</t>
        </is>
      </c>
      <c r="F15" s="7" t="inlineStr">
        <is>
          <t>REGISTERED COLLABORATION
Pairs with history: 36/36 (100%)
██████████
Shared projects: 160 total
Mean among pairs with history: 4.4
Strongest-history pair: 11 project(s)</t>
        </is>
      </c>
      <c r="G15" s="7" t="inlineStr">
        <is>
          <t>T-2735</t>
        </is>
      </c>
      <c r="H15" s="7" t="inlineStr">
        <is>
          <t>Eli-178
Zeca-18
Mila-27
Jade-435
Mia-447
Mila-482
Jo-63
Zoe-636
Ivo-655</t>
        </is>
      </c>
      <c r="I15" s="7" t="inlineStr">
        <is>
          <t>TECHNICAL COVERAGE
MUST       2/2 CONFIRMED*   ✓ COMPLETE
SHOULD   13/13 CONFIRMED*   ✓ COMPLETE
COULD     65/65 CONFIRMED*   ✓ COMPLETE
MANDATORY REQUIREMENTS
✓ Mobile — ≥8 member(s)
✓ Web — ≥8 member(s)
REDUNDANCY
✓ 2/2 MUST covered by 2+ members*</t>
        </is>
      </c>
      <c r="J15" s="7" t="inlineStr">
        <is>
          <t>REGISTERED COLLABORATION
Pairs with history: 36/36 (100%)
██████████
Shared projects: 152 total
Mean among pairs with history: 4.2
Strongest-history pair: 23 project(s)</t>
        </is>
      </c>
      <c r="K15" s="7" t="inlineStr">
        <is>
          <t>B</t>
        </is>
      </c>
      <c r="L15" s="7" t="inlineStr">
        <is>
          <t>Escolhi a equipe B por perfil mais equilibrado entre cobertura técnica e colaboração.</t>
        </is>
      </c>
    </row>
    <row r="16">
      <c r="A16" s="7" t="inlineStr">
        <is>
          <t>C018</t>
        </is>
      </c>
      <c r="B16" s="7" t="inlineStr">
        <is>
          <t>P2</t>
        </is>
      </c>
      <c r="C16" s="7" t="inlineStr">
        <is>
          <t>T-9319</t>
        </is>
      </c>
      <c r="D16" s="7" t="inlineStr">
        <is>
          <t>Levi-169
Ari-177
Mila-222
Lia-457
Sara-479
Lara-545
Davi-550
Maia-676</t>
        </is>
      </c>
      <c r="E16" s="7" t="inlineStr">
        <is>
          <t>TECHNICAL COVERAGE
MUST       — NOT DEFINED
SHOULD   20/20   ✓ COMPLETE
COULD     57/57   ✓ COMPLETE
MANDATORY REQUIREMENTS
No MUST requirement defined.
REDUNDANCY
Not applicable</t>
        </is>
      </c>
      <c r="F16" s="7" t="inlineStr">
        <is>
          <t>REGISTERED COLLABORATION
Pairs with history: 21/28 (75%)
████████░░
Shared projects: 30 total
Mean among pairs with history: 1.4
Strongest-history pair: 4 project(s)</t>
        </is>
      </c>
      <c r="G16" s="7" t="inlineStr">
        <is>
          <t>T-4526</t>
        </is>
      </c>
      <c r="H16" s="7" t="inlineStr">
        <is>
          <t>Nina-7
Davi-290
Gabi-484
Raul-33
Gabi-94
Gael-560
Mia-447
Nina-397</t>
        </is>
      </c>
      <c r="I16" s="7" t="inlineStr">
        <is>
          <t>TECHNICAL COVERAGE
MUST       — NOT DEFINED
SHOULD   11/20   ⚠ 9 MISSING
COULD     29/57   ⚠ 28 MISSING
MANDATORY REQUIREMENTS
No MUST requirement defined.
REDUNDANCY
Not applicable</t>
        </is>
      </c>
      <c r="J16" s="7" t="inlineStr">
        <is>
          <t>REGISTERED COLLABORATION
Pairs with history: 21/28 (75%)
████████░░
Shared projects: 89 total
Mean among pairs with history: 4.2
Strongest-history pair: 18 project(s)</t>
        </is>
      </c>
      <c r="K16" s="7" t="inlineStr">
        <is>
          <t>A</t>
        </is>
      </c>
      <c r="L16" s="7" t="inlineStr">
        <is>
          <t>Escolhi a equipe A por perfil mais equilibrado entre cobertura técnica e colaboração.</t>
        </is>
      </c>
    </row>
    <row r="17">
      <c r="A17" s="7" t="inlineStr">
        <is>
          <t>C022</t>
        </is>
      </c>
      <c r="B17" s="7" t="inlineStr">
        <is>
          <t>P3</t>
        </is>
      </c>
      <c r="C17" s="7" t="inlineStr">
        <is>
          <t>T-4824</t>
        </is>
      </c>
      <c r="D17" s="7" t="inlineStr">
        <is>
          <t>Sol-241
Jo-453
Zeca-473
Zeca-538
Yara-82</t>
        </is>
      </c>
      <c r="E17" s="7" t="inlineStr">
        <is>
          <t>TECHNICAL COVERAGE
MUST       3/3   ✓ COMPLETE
SHOULD   15/15   ✓ COMPLETE
COULD     50/50   ✓ COMPLETE
MANDATORY REQUIREMENTS
✓ Cloud — 5 member(s)
✓ AWS — 5 member(s)
✓ Docker — 5 member(s)
REDUNDANCY
✓ 3/3 MUST covered by 2+ members</t>
        </is>
      </c>
      <c r="F17" s="7" t="inlineStr">
        <is>
          <t>REGISTERED COLLABORATION
Pairs with history: 10/10 (100%)
██████████
Shared projects: 28 total
Mean among pairs with history: 2.8
Strongest-history pair: 11 project(s)</t>
        </is>
      </c>
      <c r="G17" s="7" t="inlineStr">
        <is>
          <t>T-6676</t>
        </is>
      </c>
      <c r="H17" s="7" t="inlineStr">
        <is>
          <t>Lara-415
Jade-370
Enzo-282
Leo-336
Iris-211</t>
        </is>
      </c>
      <c r="I17" s="7" t="inlineStr">
        <is>
          <t>TECHNICAL COVERAGE
MUST       3/3   ✓ COMPLETE
SHOULD   6/15   ⚠ 9 MISSING
COULD     23/50   ⚠ 27 MISSING
MANDATORY REQUIREMENTS
✓ Cloud — 3 member(s)
✓ AWS — 2 member(s)
✓ Docker — 2 member(s)
REDUNDANCY
✓ 3/3 MUST covered by 2+ members</t>
        </is>
      </c>
      <c r="J17" s="7" t="inlineStr">
        <is>
          <t>REGISTERED COLLABORATION
Pairs with history: 9/10 (90%)
█████████░
Shared projects: 44 total
Mean among pairs with history: 4.9
Strongest-history pair: 7 project(s)</t>
        </is>
      </c>
      <c r="K17" s="7" t="inlineStr">
        <is>
          <t>A</t>
        </is>
      </c>
      <c r="L17" s="7" t="inlineStr">
        <is>
          <t>Escolhi a equipe A por perfil mais equilibrado entre cobertura técnica e colaboração.</t>
        </is>
      </c>
    </row>
    <row r="18">
      <c r="A18" s="7" t="inlineStr">
        <is>
          <t>C023</t>
        </is>
      </c>
      <c r="B18" s="7" t="inlineStr">
        <is>
          <t>P12</t>
        </is>
      </c>
      <c r="C18" s="7" t="inlineStr">
        <is>
          <t>T-7216</t>
        </is>
      </c>
      <c r="D18" s="7" t="inlineStr">
        <is>
          <t>Nilo-467
Ravi-398
Mia-317
Miro-498</t>
        </is>
      </c>
      <c r="E18" s="7" t="inlineStr">
        <is>
          <t>TECHNICAL COVERAGE
MUST       — NOT DEFINED
SHOULD   8/9   ⚠ 1 MISSING
COULD     19/28   ⚠ 9 MISSING
MANDATORY REQUIREMENTS
No MUST requirement defined.
REDUNDANCY
Not applicable</t>
        </is>
      </c>
      <c r="F18" s="7" t="inlineStr">
        <is>
          <t>REGISTERED COLLABORATION
Pairs with history: 6/6 (100%)
██████████
Shared projects: 31 total
Mean among pairs with history: 5.2
Strongest-history pair: 6 project(s)</t>
        </is>
      </c>
      <c r="G18" s="7" t="inlineStr">
        <is>
          <t>T-8599</t>
        </is>
      </c>
      <c r="H18" s="7" t="inlineStr">
        <is>
          <t>Ravi-398
Lara-415
Nilo-467
Bia-458</t>
        </is>
      </c>
      <c r="I18" s="7" t="inlineStr">
        <is>
          <t>TECHNICAL COVERAGE
MUST       — NOT DEFINED
SHOULD   6/9   ⚠ 3 MISSING
COULD     21/28   ⚠ 7 MISSING
MANDATORY REQUIREMENTS
No MUST requirement defined.
REDUNDANCY
Not applicable</t>
        </is>
      </c>
      <c r="J18" s="7" t="inlineStr">
        <is>
          <t>REGISTERED COLLABORATION
Pairs with history: 6/6 (100%)
██████████
Shared projects: 23 total
Mean among pairs with history: 3.8
Strongest-history pair: 6 project(s)</t>
        </is>
      </c>
      <c r="K18" s="7" t="inlineStr">
        <is>
          <t>A</t>
        </is>
      </c>
      <c r="L18" s="7" t="inlineStr">
        <is>
          <t>Escolhi a equipe A por perfil mais equilibrado entre cobertura técnica e colaboração.</t>
        </is>
      </c>
    </row>
    <row r="19">
      <c r="A19" s="7" t="inlineStr">
        <is>
          <t>C026</t>
        </is>
      </c>
      <c r="B19" s="7" t="inlineStr">
        <is>
          <t>P3</t>
        </is>
      </c>
      <c r="C19" s="7" t="inlineStr">
        <is>
          <t>T-5095</t>
        </is>
      </c>
      <c r="D19" s="7" t="inlineStr">
        <is>
          <t>Iris-81
Jade-370
Enzo-282
Leo-336
Lara-415</t>
        </is>
      </c>
      <c r="E19" s="7" t="inlineStr">
        <is>
          <t>TECHNICAL COVERAGE
MUST       3/3   ✓ COMPLETE
SHOULD   5/15   ⚠ 10 MISSING
COULD     19/50   ⚠ 31 MISSING
MANDATORY REQUIREMENTS
✓ Cloud — 3 member(s)
✓ AWS — 2 member(s)
✓ Docker — 2 member(s)
REDUNDANCY
✓ 3/3 MUST covered by 2+ members</t>
        </is>
      </c>
      <c r="F19" s="7" t="inlineStr">
        <is>
          <t>REGISTERED COLLABORATION
Pairs with history: 10/10 (100%)
██████████
Shared projects: 54 total
Mean among pairs with history: 5.4
Strongest-history pair: 7 project(s)</t>
        </is>
      </c>
      <c r="G19" s="7" t="inlineStr">
        <is>
          <t>T-6676</t>
        </is>
      </c>
      <c r="H19" s="7" t="inlineStr">
        <is>
          <t>Lara-415
Jade-370
Enzo-282
Leo-336
Iris-211</t>
        </is>
      </c>
      <c r="I19" s="7" t="inlineStr">
        <is>
          <t>TECHNICAL COVERAGE
MUST       3/3   ✓ COMPLETE
SHOULD   6/15   ⚠ 9 MISSING
COULD     23/50   ⚠ 27 MISSING
MANDATORY REQUIREMENTS
✓ Cloud — 3 member(s)
✓ AWS — 2 member(s)
✓ Docker — 2 member(s)
REDUNDANCY
✓ 3/3 MUST covered by 2+ members</t>
        </is>
      </c>
      <c r="J19" s="7" t="inlineStr">
        <is>
          <t>REGISTERED COLLABORATION
Pairs with history: 9/10 (90%)
█████████░
Shared projects: 44 total
Mean among pairs with history: 4.9
Strongest-history pair: 7 project(s)</t>
        </is>
      </c>
      <c r="K19" s="7" t="inlineStr">
        <is>
          <t>A</t>
        </is>
      </c>
      <c r="L19" s="7" t="inlineStr">
        <is>
          <t>Escolhi a equipe A por histórico de colaboração mais consistente.</t>
        </is>
      </c>
    </row>
    <row r="20">
      <c r="A20" s="7" t="inlineStr">
        <is>
          <t>C027</t>
        </is>
      </c>
      <c r="B20" s="7" t="inlineStr">
        <is>
          <t>P15</t>
        </is>
      </c>
      <c r="C20" s="7" t="inlineStr">
        <is>
          <t>T-9656</t>
        </is>
      </c>
      <c r="D20" s="7" t="inlineStr">
        <is>
          <t>Miro-563
Miro-498
Jo-583
Nilo-467
Ian-570</t>
        </is>
      </c>
      <c r="E20" s="7" t="inlineStr">
        <is>
          <t>TECHNICAL COVERAGE
MUST       — NOT DEFINED
SHOULD   10/23   ⚠ 13 MISSING
COULD     10/31   ⚠ 21 MISSING
MANDATORY REQUIREMENTS
No MUST requirement defined.
REDUNDANCY
Not applicable</t>
        </is>
      </c>
      <c r="F20" s="7" t="inlineStr">
        <is>
          <t>REGISTERED COLLABORATION
Pairs with history: 9/10 (90%)
█████████░
Shared projects: 37 total
Mean among pairs with history: 4.1
Strongest-history pair: 6 project(s)</t>
        </is>
      </c>
      <c r="G20" s="7" t="inlineStr">
        <is>
          <t>T-2273</t>
        </is>
      </c>
      <c r="H20" s="7" t="inlineStr">
        <is>
          <t>Miro-498
Eva-579
Ian-570
Caio-589
Jo-583</t>
        </is>
      </c>
      <c r="I20" s="7" t="inlineStr">
        <is>
          <t>TECHNICAL COVERAGE
MUST       — NOT DEFINED
SHOULD   10/23   ⚠ 13 MISSING
COULD     6/31   ⚠ 25 MISSING
MANDATORY REQUIREMENTS
No MUST requirement defined.
REDUNDANCY
Not applicable</t>
        </is>
      </c>
      <c r="J20" s="7" t="inlineStr">
        <is>
          <t>REGISTERED COLLABORATION
Pairs with history: 10/10 (100%)
██████████
Shared projects: 51 total
Mean among pairs with history: 5.1
Strongest-history pair: 6 project(s)</t>
        </is>
      </c>
      <c r="K20" s="7" t="inlineStr">
        <is>
          <t>B</t>
        </is>
      </c>
      <c r="L20" s="7" t="inlineStr">
        <is>
          <t>Escolhi a equipe B por histórico de colaboração mais consistente.</t>
        </is>
      </c>
    </row>
    <row r="21">
      <c r="A21" s="7" t="inlineStr">
        <is>
          <t>C028</t>
        </is>
      </c>
      <c r="B21" s="7" t="inlineStr">
        <is>
          <t>P9</t>
        </is>
      </c>
      <c r="C21" s="7" t="inlineStr">
        <is>
          <t>T-1384</t>
        </is>
      </c>
      <c r="D21" s="7" t="inlineStr">
        <is>
          <t>Davi-290
Mia-382
Gael-560
Teo-647
Gabi-484
Gabi-94</t>
        </is>
      </c>
      <c r="E21" s="7" t="inlineStr">
        <is>
          <t>TECHNICAL COVERAGE
MUST       — NOT DEFINED
SHOULD   4/5   ⚠ 1 MISSING
COULD     30/71   ⚠ 41 MISSING
MANDATORY REQUIREMENTS
No MUST requirement defined.
REDUNDANCY
Not applicable</t>
        </is>
      </c>
      <c r="F21" s="7" t="inlineStr">
        <is>
          <t>REGISTERED COLLABORATION
Pairs with history: 10/15 (67%)
███████░░░
Shared projects: 43 total
Mean among pairs with history: 4.3
Strongest-history pair: 6 project(s)</t>
        </is>
      </c>
      <c r="G21" s="7" t="inlineStr">
        <is>
          <t>T-6406</t>
        </is>
      </c>
      <c r="H21" s="7" t="inlineStr">
        <is>
          <t>Mila-222
Eva-449
Zeca-473
Bela-492
Mila-742
Nara-751</t>
        </is>
      </c>
      <c r="I21" s="7" t="inlineStr">
        <is>
          <t>TECHNICAL COVERAGE
MUST       — NOT DEFINED
SHOULD   5/5 CONFIRMED*   ✓ COMPLETE
COULD     71/71 CONFIRMED*   ✓ COMPLETE
MANDATORY REQUIREMENTS
No MUST requirement defined.
REDUNDANCY
Not applicable</t>
        </is>
      </c>
      <c r="J21" s="7" t="inlineStr">
        <is>
          <t>REGISTERED COLLABORATION
Pairs with history: 15/15 (100%)
██████████
Shared projects: 22 total
Mean among pairs with history: 1.5
Strongest-history pair: 6 project(s)</t>
        </is>
      </c>
      <c r="K21" s="7" t="inlineStr">
        <is>
          <t>B</t>
        </is>
      </c>
      <c r="L21" s="7" t="inlineStr">
        <is>
          <t>Escolhi a equipe B por histórico de colaboração mais consistente.</t>
        </is>
      </c>
    </row>
    <row r="22">
      <c r="A22" s="7" t="inlineStr">
        <is>
          <t>C031</t>
        </is>
      </c>
      <c r="B22" s="7" t="inlineStr">
        <is>
          <t>P7</t>
        </is>
      </c>
      <c r="C22" s="7" t="inlineStr">
        <is>
          <t>T-1102</t>
        </is>
      </c>
      <c r="D22" s="7" t="inlineStr">
        <is>
          <t>Ada-326
Gabi-354
Sol-46
Ivo-525
Levi-754</t>
        </is>
      </c>
      <c r="E22" s="7" t="inlineStr">
        <is>
          <t>TECHNICAL COVERAGE
MUST       1/1 CONFIRMED*   ✓ COMPLETE
SHOULD   29/29 CONFIRMED*   ✓ COMPLETE
COULD     40/40 CONFIRMED*   ✓ COMPLETE
MANDATORY REQUIREMENTS
✓ Web — ≥4 member(s)
REDUNDANCY
✓ 1/1 MUST covered by 2+ members*</t>
        </is>
      </c>
      <c r="F22" s="7" t="inlineStr">
        <is>
          <t>REGISTERED COLLABORATION
Pairs with history: 10/10 (100%)
██████████
Shared projects: 20 total
Mean among pairs with history: 2.0
Strongest-history pair: 4 project(s)</t>
        </is>
      </c>
      <c r="G22" s="7" t="inlineStr">
        <is>
          <t>T-8765</t>
        </is>
      </c>
      <c r="H22" s="7" t="inlineStr">
        <is>
          <t>Iris-81
Jade-370
Lara-415
Enzo-282
Leo-336</t>
        </is>
      </c>
      <c r="I22" s="7" t="inlineStr">
        <is>
          <t>TECHNICAL COVERAGE
MUST       1/1   ✓ COMPLETE
SHOULD   12/29   ⚠ 17 MISSING
COULD     15/40   ⚠ 25 MISSING
MANDATORY REQUIREMENTS
✓ Web — 4 member(s)
REDUNDANCY
✓ 1/1 MUST covered by 2+ members</t>
        </is>
      </c>
      <c r="J22" s="7" t="inlineStr">
        <is>
          <t>REGISTERED COLLABORATION
Pairs with history: 10/10 (100%)
██████████
Shared projects: 54 total
Mean among pairs with history: 5.4
Strongest-history pair: 7 project(s)</t>
        </is>
      </c>
      <c r="K22" s="7" t="inlineStr">
        <is>
          <t>A</t>
        </is>
      </c>
      <c r="L22" s="7" t="inlineStr">
        <is>
          <t>Escolhi a equipe A por perfil mais equilibrado entre cobertura técnica e colaboração.</t>
        </is>
      </c>
    </row>
    <row r="23">
      <c r="A23" s="7" t="inlineStr">
        <is>
          <t>C032</t>
        </is>
      </c>
      <c r="B23" s="7" t="inlineStr">
        <is>
          <t>P5</t>
        </is>
      </c>
      <c r="C23" s="7" t="inlineStr">
        <is>
          <t>T-8053</t>
        </is>
      </c>
      <c r="D23" s="7" t="inlineStr">
        <is>
          <t>Jade-370
Lara-415
Leo-336
Ravi-398</t>
        </is>
      </c>
      <c r="E23" s="7" t="inlineStr">
        <is>
          <t>TECHNICAL COVERAGE
MUST       1/1   ✓ COMPLETE
SHOULD   5/8   ⚠ 3 MISSING
COULD     21/34   ⚠ 13 MISSING
MANDATORY REQUIREMENTS
✓ Web — 2 member(s)
REDUNDANCY
✓ 1/1 MUST covered by 2+ members</t>
        </is>
      </c>
      <c r="F23" s="7" t="inlineStr">
        <is>
          <t>REGISTERED COLLABORATION
Pairs with history: 6/6 (100%)
██████████
Shared projects: 32 total
Mean among pairs with history: 5.3
Strongest-history pair: 6 project(s)</t>
        </is>
      </c>
      <c r="G23" s="7" t="inlineStr">
        <is>
          <t>T-2822</t>
        </is>
      </c>
      <c r="H23" s="7" t="inlineStr">
        <is>
          <t>Nilo-467
Lara-415
Ravi-398
Mel-316</t>
        </is>
      </c>
      <c r="I23" s="7" t="inlineStr">
        <is>
          <t>TECHNICAL COVERAGE
MUST       1/1   ✓ COMPLETE
SHOULD   5/8   ⚠ 3 MISSING
COULD     21/34   ⚠ 13 MISSING
MANDATORY REQUIREMENTS
✓ Web — 2 member(s)
REDUNDANCY
✓ 1/1 MUST covered by 2+ members</t>
        </is>
      </c>
      <c r="J23" s="7" t="inlineStr">
        <is>
          <t>REGISTERED COLLABORATION
Pairs with history: 6/6 (100%)
██████████
Shared projects: 33 total
Mean among pairs with history: 5.5
Strongest-history pair: 8 project(s)</t>
        </is>
      </c>
      <c r="K23" s="7" t="inlineStr">
        <is>
          <t>B</t>
        </is>
      </c>
      <c r="L23" s="7" t="inlineStr">
        <is>
          <t>Escolhi a equipe B por perfil mais equilibrado entre cobertura técnica e colaboração.</t>
        </is>
      </c>
    </row>
    <row r="24">
      <c r="A24" s="7" t="inlineStr">
        <is>
          <t>C033</t>
        </is>
      </c>
      <c r="B24" s="7" t="inlineStr">
        <is>
          <t>P13</t>
        </is>
      </c>
      <c r="C24" s="7" t="inlineStr">
        <is>
          <t>T-1559</t>
        </is>
      </c>
      <c r="D24" s="7" t="inlineStr">
        <is>
          <t>Caio-589
Jo-583
Miro-498
Ivo-720</t>
        </is>
      </c>
      <c r="E24" s="7" t="inlineStr">
        <is>
          <t>TECHNICAL COVERAGE
MUST       4/4   ✓ COMPLETE
SHOULD   3/3   ✓ COMPLETE
COULD     7/8   ⚠ 1 MISSING
MANDATORY REQUIREMENTS
✓ Hardware — 4 member(s)
✓ NumPy — 3 member(s)
✓ C — 4 member(s)
✓ Python — 4 member(s)
REDUNDANCY
✓ 4/4 MUST covered by 2+ members</t>
        </is>
      </c>
      <c r="F24" s="7" t="inlineStr">
        <is>
          <t>REGISTERED COLLABORATION
Pairs with history: 6/6 (100%)
██████████
Shared projects: 30 total
Mean among pairs with history: 5.0
Strongest-history pair: 6 project(s)</t>
        </is>
      </c>
      <c r="G24" s="7" t="inlineStr">
        <is>
          <t>T-1300</t>
        </is>
      </c>
      <c r="H24" s="7" t="inlineStr">
        <is>
          <t>Jo-583
Ian-700
Sam-705
Ivo-720</t>
        </is>
      </c>
      <c r="I24" s="7" t="inlineStr">
        <is>
          <t>TECHNICAL COVERAGE
MUST       4/4 CONFIRMED*   ✓ COMPLETE
SHOULD   3/3 CONFIRMED*   ✓ COMPLETE
COULD     8/8 CONFIRMED*   ✓ COMPLETE
MANDATORY REQUIREMENTS
✓ Hardware — ≥3 member(s)
✓ NumPy — ≥3 member(s)
✓ C — ≥3 member(s)
✓ Python — ≥3 member(s)
REDUNDANCY
✓ 4/4 MUST covered by 2+ members*</t>
        </is>
      </c>
      <c r="J24" s="7" t="inlineStr">
        <is>
          <t>REGISTERED COLLABORATION
Pairs with history: 6/6 (100%)
██████████
Shared projects: 24 total
Mean among pairs with history: 4.0
Strongest-history pair: 9 project(s)</t>
        </is>
      </c>
      <c r="K24" s="7" t="inlineStr">
        <is>
          <t>A</t>
        </is>
      </c>
      <c r="L24" s="7" t="inlineStr">
        <is>
          <t>Escolhi a equipe A por perfil mais equilibrado entre cobertura técnica e colaboração.</t>
        </is>
      </c>
    </row>
    <row r="25">
      <c r="A25" s="7" t="inlineStr">
        <is>
          <t>C034</t>
        </is>
      </c>
      <c r="B25" s="7" t="inlineStr">
        <is>
          <t>P9</t>
        </is>
      </c>
      <c r="C25" s="7" t="inlineStr">
        <is>
          <t>T-8573</t>
        </is>
      </c>
      <c r="D25" s="7" t="inlineStr">
        <is>
          <t>Ravi-398
Enzo-282
Maya-335
Lara-415
Leo-336
Nilo-467</t>
        </is>
      </c>
      <c r="E25" s="7" t="inlineStr">
        <is>
          <t>TECHNICAL COVERAGE
MUST       — NOT DEFINED
SHOULD   4/5   ⚠ 1 MISSING
COULD     39/71   ⚠ 32 MISSING
MANDATORY REQUIREMENTS
No MUST requirement defined.
REDUNDANCY
Not applicable</t>
        </is>
      </c>
      <c r="F25" s="7" t="inlineStr">
        <is>
          <t>REGISTERED COLLABORATION
Pairs with history: 15/15 (100%)
██████████
Shared projects: 65 total
Mean among pairs with history: 4.3
Strongest-history pair: 7 project(s)</t>
        </is>
      </c>
      <c r="G25" s="7" t="inlineStr">
        <is>
          <t>T-1384</t>
        </is>
      </c>
      <c r="H25" s="7" t="inlineStr">
        <is>
          <t>Davi-290
Mia-382
Gael-560
Teo-647
Gabi-484
Gabi-94</t>
        </is>
      </c>
      <c r="I25" s="7" t="inlineStr">
        <is>
          <t>TECHNICAL COVERAGE
MUST       — NOT DEFINED
SHOULD   4/5   ⚠ 1 MISSING
COULD     30/71   ⚠ 41 MISSING
MANDATORY REQUIREMENTS
No MUST requirement defined.
REDUNDANCY
Not applicable</t>
        </is>
      </c>
      <c r="J25" s="7" t="inlineStr">
        <is>
          <t>REGISTERED COLLABORATION
Pairs with history: 10/15 (67%)
███████░░░
Shared projects: 43 total
Mean among pairs with history: 4.3
Strongest-history pair: 6 project(s)</t>
        </is>
      </c>
      <c r="K25" s="7" t="inlineStr">
        <is>
          <t>A</t>
        </is>
      </c>
      <c r="L25" s="7" t="inlineStr">
        <is>
          <t>Escolhi a equipe A por histórico de colaboração mais consistente.</t>
        </is>
      </c>
    </row>
    <row r="26">
      <c r="A26" s="7" t="inlineStr">
        <is>
          <t>C037</t>
        </is>
      </c>
      <c r="B26" s="7" t="inlineStr">
        <is>
          <t>P7</t>
        </is>
      </c>
      <c r="C26" s="7" t="inlineStr">
        <is>
          <t>T-4479</t>
        </is>
      </c>
      <c r="D26" s="7" t="inlineStr">
        <is>
          <t>Davi-615
Enzo-477
Lino-496
Teo-257
Mila-27</t>
        </is>
      </c>
      <c r="E26" s="7" t="inlineStr">
        <is>
          <t>TECHNICAL COVERAGE
MUST       1/1   ✓ COMPLETE
SHOULD   22/29   ⚠ 7 MISSING
COULD     14/40   ⚠ 26 MISSING
MANDATORY REQUIREMENTS
✓ Web — 4 member(s)
REDUNDANCY
✓ 1/1 MUST covered by 2+ members</t>
        </is>
      </c>
      <c r="F26" s="7" t="inlineStr">
        <is>
          <t>REGISTERED COLLABORATION
Pairs with history: 10/10 (100%)
██████████
Shared projects: 43 total
Mean among pairs with history: 4.3
Strongest-history pair: 6 project(s)</t>
        </is>
      </c>
      <c r="G26" s="7" t="inlineStr">
        <is>
          <t>T-8765</t>
        </is>
      </c>
      <c r="H26" s="7" t="inlineStr">
        <is>
          <t>Iris-81
Jade-370
Lara-415
Enzo-282
Leo-336</t>
        </is>
      </c>
      <c r="I26" s="7" t="inlineStr">
        <is>
          <t>TECHNICAL COVERAGE
MUST       1/1   ✓ COMPLETE
SHOULD   12/29   ⚠ 17 MISSING
COULD     15/40   ⚠ 25 MISSING
MANDATORY REQUIREMENTS
✓ Web — 4 member(s)
REDUNDANCY
✓ 1/1 MUST covered by 2+ members</t>
        </is>
      </c>
      <c r="J26" s="7" t="inlineStr">
        <is>
          <t>REGISTERED COLLABORATION
Pairs with history: 10/10 (100%)
██████████
Shared projects: 54 total
Mean among pairs with history: 5.4
Strongest-history pair: 7 project(s)</t>
        </is>
      </c>
      <c r="K26" s="7" t="inlineStr">
        <is>
          <t>A</t>
        </is>
      </c>
      <c r="L26" s="7" t="inlineStr">
        <is>
          <t>Escolhi a equipe A por perfil mais equilibrado entre cobertura técnica e colaboração.</t>
        </is>
      </c>
    </row>
    <row r="27">
      <c r="A27" s="7" t="inlineStr">
        <is>
          <t>C038</t>
        </is>
      </c>
      <c r="B27" s="7" t="inlineStr">
        <is>
          <t>P8</t>
        </is>
      </c>
      <c r="C27" s="7" t="inlineStr">
        <is>
          <t>T-4732</t>
        </is>
      </c>
      <c r="D27" s="7" t="inlineStr">
        <is>
          <t>Davi-225
Rita-520
Theo-656
Ceci-688
Ravi-8</t>
        </is>
      </c>
      <c r="E27" s="7" t="inlineStr">
        <is>
          <t>TECHNICAL COVERAGE
MUST       2/2 CONFIRMED*   ✓ COMPLETE
SHOULD   18/18 CONFIRMED*   ✓ COMPLETE
COULD     32/32 CONFIRMED*   ✓ COMPLETE
MANDATORY REQUIREMENTS
✓ Web — ≥4 member(s)
✓ AWS — ≥4 member(s)
REDUNDANCY
✓ 2/2 MUST covered by 2+ members*</t>
        </is>
      </c>
      <c r="F27" s="7" t="inlineStr">
        <is>
          <t>REGISTERED COLLABORATION
Pairs with history: 10/10 (100%)
██████████
Shared projects: 17 total
Mean among pairs with history: 1.7
Strongest-history pair: 5 project(s)</t>
        </is>
      </c>
      <c r="G27" s="7" t="inlineStr">
        <is>
          <t>T-1457</t>
        </is>
      </c>
      <c r="H27" s="7" t="inlineStr">
        <is>
          <t>Jade-370
Ravi-398
Lara-415
Leo-336
Iris-81</t>
        </is>
      </c>
      <c r="I27" s="7" t="inlineStr">
        <is>
          <t>TECHNICAL COVERAGE
MUST       2/2   ✓ COMPLETE
SHOULD   17/18   ⚠ 1 MISSING
COULD     15/32   ⚠ 17 MISSING
MANDATORY REQUIREMENTS
✓ Web — 3 member(s)
✓ AWS — 2 member(s)
REDUNDANCY
✓ 2/2 MUST covered by 2+ members</t>
        </is>
      </c>
      <c r="J27" s="7" t="inlineStr">
        <is>
          <t>REGISTERED COLLABORATION
Pairs with history: 10/10 (100%)
██████████
Shared projects: 46 total
Mean among pairs with history: 4.6
Strongest-history pair: 6 project(s)</t>
        </is>
      </c>
      <c r="K27" s="7" t="inlineStr">
        <is>
          <t>A</t>
        </is>
      </c>
      <c r="L27" s="7" t="inlineStr">
        <is>
          <t>Escolhi a equipe A por perfil mais equilibrado entre cobertura técnica e colaboração.</t>
        </is>
      </c>
    </row>
    <row r="28">
      <c r="A28" s="7" t="inlineStr">
        <is>
          <t>C039</t>
        </is>
      </c>
      <c r="B28" s="7" t="inlineStr">
        <is>
          <t>P5</t>
        </is>
      </c>
      <c r="C28" s="7" t="inlineStr">
        <is>
          <t>T-2822</t>
        </is>
      </c>
      <c r="D28" s="7" t="inlineStr">
        <is>
          <t>Nilo-467
Lara-415
Ravi-398
Mel-316</t>
        </is>
      </c>
      <c r="E28" s="7" t="inlineStr">
        <is>
          <t>TECHNICAL COVERAGE
MUST       1/1   ✓ COMPLETE
SHOULD   5/8   ⚠ 3 MISSING
COULD     21/34   ⚠ 13 MISSING
MANDATORY REQUIREMENTS
✓ Web — 2 member(s)
REDUNDANCY
✓ 1/1 MUST covered by 2+ members</t>
        </is>
      </c>
      <c r="F28" s="7" t="inlineStr">
        <is>
          <t>REGISTERED COLLABORATION
Pairs with history: 6/6 (100%)
██████████
Shared projects: 33 total
Mean among pairs with history: 5.5
Strongest-history pair: 8 project(s)</t>
        </is>
      </c>
      <c r="G28" s="7" t="inlineStr">
        <is>
          <t>T-8053</t>
        </is>
      </c>
      <c r="H28" s="7" t="inlineStr">
        <is>
          <t>Jade-370
Lara-415
Leo-336
Ravi-398</t>
        </is>
      </c>
      <c r="I28" s="7" t="inlineStr">
        <is>
          <t>TECHNICAL COVERAGE
MUST       1/1   ✓ COMPLETE
SHOULD   5/8   ⚠ 3 MISSING
COULD     21/34   ⚠ 13 MISSING
MANDATORY REQUIREMENTS
✓ Web — 2 member(s)
REDUNDANCY
✓ 1/1 MUST covered by 2+ members</t>
        </is>
      </c>
      <c r="J28" s="7" t="inlineStr">
        <is>
          <t>REGISTERED COLLABORATION
Pairs with history: 6/6 (100%)
██████████
Shared projects: 32 total
Mean among pairs with history: 5.3
Strongest-history pair: 6 project(s)</t>
        </is>
      </c>
      <c r="K28" s="7" t="inlineStr">
        <is>
          <t>A</t>
        </is>
      </c>
      <c r="L28" s="7" t="inlineStr">
        <is>
          <t>Escolhi a equipe A por perfil mais equilibrado entre cobertura técnica e colaboração.</t>
        </is>
      </c>
    </row>
    <row r="29">
      <c r="A29" s="7" t="inlineStr">
        <is>
          <t>C042</t>
        </is>
      </c>
      <c r="B29" s="7" t="inlineStr">
        <is>
          <t>P6</t>
        </is>
      </c>
      <c r="C29" s="7" t="inlineStr">
        <is>
          <t>T-4412</t>
        </is>
      </c>
      <c r="D29" s="7" t="inlineStr">
        <is>
          <t>Mia-382
Gabi-94
Nilo-402
Tom-183
Davi-290
Ceci-363
Gabi-484</t>
        </is>
      </c>
      <c r="E29" s="7" t="inlineStr">
        <is>
          <t>TECHNICAL COVERAGE
MUST       2/2   ✓ COMPLETE
SHOULD   16/19   ⚠ 3 MISSING
COULD     24/43   ⚠ 19 MISSING
MANDATORY REQUIREMENTS
✓ Android — 7 member(s)
✓ iOS — 4 member(s)
REDUNDANCY
✓ 2/2 MUST covered by 2+ members</t>
        </is>
      </c>
      <c r="F29" s="7" t="inlineStr">
        <is>
          <t>REGISTERED COLLABORATION
Pairs with history: 21/21 (100%)
██████████
Shared projects: 79 total
Mean among pairs with history: 3.8
Strongest-history pair: 6 project(s)</t>
        </is>
      </c>
      <c r="G29" s="7" t="inlineStr">
        <is>
          <t>T-8656</t>
        </is>
      </c>
      <c r="H29" s="7" t="inlineStr">
        <is>
          <t>Otto-281
Zoe-311
Jo-453
Rute-483
Tina-490
Levi-494
Liz-637</t>
        </is>
      </c>
      <c r="I29" s="7" t="inlineStr">
        <is>
          <t>TECHNICAL COVERAGE
MUST       2/2 CONFIRMED*   ✓ COMPLETE
SHOULD   19/19 CONFIRMED*   ✓ COMPLETE
COULD     43/43 CONFIRMED*   ✓ COMPLETE
MANDATORY REQUIREMENTS
✓ Android — ≥6 member(s)
✓ iOS — ≥6 member(s)
REDUNDANCY
✓ 2/2 MUST covered by 2+ members*</t>
        </is>
      </c>
      <c r="J29" s="7" t="inlineStr">
        <is>
          <t>REGISTERED COLLABORATION
Pairs with history: 21/21 (100%)
██████████
Shared projects: 69 total
Mean among pairs with history: 3.3
Strongest-history pair: 6 project(s)</t>
        </is>
      </c>
      <c r="K29" s="7" t="inlineStr">
        <is>
          <t>B</t>
        </is>
      </c>
      <c r="L29" s="7" t="inlineStr">
        <is>
          <t>Escolhi a equipe B por perfil mais equilibrado entre cobertura técnica e colaboração.</t>
        </is>
      </c>
    </row>
    <row r="30">
      <c r="A30" s="7" t="inlineStr">
        <is>
          <t>C043</t>
        </is>
      </c>
      <c r="B30" s="7" t="inlineStr">
        <is>
          <t>P5</t>
        </is>
      </c>
      <c r="C30" s="7" t="inlineStr">
        <is>
          <t>T-2639</t>
        </is>
      </c>
      <c r="D30" s="7" t="inlineStr">
        <is>
          <t>Mila-27
Mia-317
Maia-351
Gil-516</t>
        </is>
      </c>
      <c r="E30" s="7" t="inlineStr">
        <is>
          <t>TECHNICAL COVERAGE
MUST       1/1   ✓ COMPLETE
SHOULD   8/8   ✓ COMPLETE
COULD     34/34   ✓ COMPLETE
MANDATORY REQUIREMENTS
✓ Web — 4 member(s)
REDUNDANCY
✓ 1/1 MUST covered by 2+ members</t>
        </is>
      </c>
      <c r="F30" s="7" t="inlineStr">
        <is>
          <t>REGISTERED COLLABORATION
Pairs with history: 6/6 (100%)
██████████
Shared projects: 43 total
Mean among pairs with history: 7.2
Strongest-history pair: 22 project(s)</t>
        </is>
      </c>
      <c r="G30" s="7" t="inlineStr">
        <is>
          <t>T-2822</t>
        </is>
      </c>
      <c r="H30" s="7" t="inlineStr">
        <is>
          <t>Nilo-467
Lara-415
Ravi-398
Mel-316</t>
        </is>
      </c>
      <c r="I30" s="7" t="inlineStr">
        <is>
          <t>TECHNICAL COVERAGE
MUST       1/1   ✓ COMPLETE
SHOULD   5/8   ⚠ 3 MISSING
COULD     21/34   ⚠ 13 MISSING
MANDATORY REQUIREMENTS
✓ Web — 2 member(s)
REDUNDANCY
✓ 1/1 MUST covered by 2+ members</t>
        </is>
      </c>
      <c r="J30" s="7" t="inlineStr">
        <is>
          <t>REGISTERED COLLABORATION
Pairs with history: 6/6 (100%)
██████████
Shared projects: 33 total
Mean among pairs with history: 5.5
Strongest-history pair: 8 project(s)</t>
        </is>
      </c>
      <c r="K30" s="7" t="inlineStr">
        <is>
          <t>A</t>
        </is>
      </c>
      <c r="L30" s="7" t="inlineStr">
        <is>
          <t>Escolhi a equipe A por perfil mais equilibrado entre cobertura técnica e colaboração.</t>
        </is>
      </c>
    </row>
    <row r="31">
      <c r="A31" s="7" t="inlineStr">
        <is>
          <t>C045</t>
        </is>
      </c>
      <c r="B31" s="7" t="inlineStr">
        <is>
          <t>P1</t>
        </is>
      </c>
      <c r="C31" s="7" t="inlineStr">
        <is>
          <t>T-6473</t>
        </is>
      </c>
      <c r="D31" s="7" t="inlineStr">
        <is>
          <t>Luiz-324
Rosa-359
Ana-448
Jade-305
Gael-170
Hugo-543
Eli-503
Ana-578
Lara-220</t>
        </is>
      </c>
      <c r="E31" s="7" t="inlineStr">
        <is>
          <t>TECHNICAL COVERAGE
MUST       2/2   ✓ COMPLETE
SHOULD   13/13   ✓ COMPLETE
COULD     38/65   ⚠ 27 MISSING
MANDATORY REQUIREMENTS
✓ Mobile — 8 member(s)
✓ Web — 9 member(s)
REDUNDANCY
✓ 2/2 MUST covered by 2+ members</t>
        </is>
      </c>
      <c r="F31" s="7" t="inlineStr">
        <is>
          <t>REGISTERED COLLABORATION
Pairs with history: 36/36 (100%)
██████████
Shared projects: 160 total
Mean among pairs with history: 4.4
Strongest-history pair: 11 project(s)</t>
        </is>
      </c>
      <c r="G31" s="7" t="inlineStr">
        <is>
          <t>T-4743</t>
        </is>
      </c>
      <c r="H31" s="7" t="inlineStr">
        <is>
          <t>Luiz-324
Rosa-359
Lara-220
Ana-578
Gael-170
Ana-448
Eli-503
Jade-305
Sara-544</t>
        </is>
      </c>
      <c r="I31" s="7" t="inlineStr">
        <is>
          <t>TECHNICAL COVERAGE
MUST       2/2   ✓ COMPLETE
SHOULD   13/13   ✓ COMPLETE
COULD     38/65   ⚠ 27 MISSING
MANDATORY REQUIREMENTS
✓ Mobile — 9 member(s)
✓ Web — 9 member(s)
REDUNDANCY
✓ 2/2 MUST covered by 2+ members</t>
        </is>
      </c>
      <c r="J31" s="7" t="inlineStr">
        <is>
          <t>REGISTERED COLLABORATION
Pairs with history: 36/36 (100%)
██████████
Shared projects: 167 total
Mean among pairs with history: 4.6
Strongest-history pair: 12 project(s)</t>
        </is>
      </c>
      <c r="K31" s="7" t="inlineStr">
        <is>
          <t>B</t>
        </is>
      </c>
      <c r="L31" s="7" t="inlineStr">
        <is>
          <t>Escolhi a equipe B por perfil mais equilibrado entre cobertura técnica e colaboração.</t>
        </is>
      </c>
    </row>
    <row r="32">
      <c r="A32" s="7" t="inlineStr">
        <is>
          <t>C047</t>
        </is>
      </c>
      <c r="B32" s="7" t="inlineStr">
        <is>
          <t>P11</t>
        </is>
      </c>
      <c r="C32" s="7" t="inlineStr">
        <is>
          <t>T-4785</t>
        </is>
      </c>
      <c r="D32" s="7" t="inlineStr">
        <is>
          <t>Ian-180
Sol-241
Iris-536
Yara-537
Jo-648
Teo-712
Ada-716
Rute-743
Bela-752</t>
        </is>
      </c>
      <c r="E32" s="7" t="inlineStr">
        <is>
          <t>TECHNICAL COVERAGE
MUST       — NOT DEFINED
SHOULD   5/5 CONFIRMED*   ✓ COMPLETE
COULD     56/56 CONFIRMED*   ✓ COMPLETE
MANDATORY REQUIREMENTS
No MUST requirement defined.
REDUNDANCY
Not applicable</t>
        </is>
      </c>
      <c r="F32" s="7" t="inlineStr">
        <is>
          <t>REGISTERED COLLABORATION
Pairs with history: 36/36 (100%)
██████████
Shared projects: 41 total
Mean among pairs with history: 1.1
Strongest-history pair: 5 project(s)</t>
        </is>
      </c>
      <c r="G32" s="7" t="inlineStr">
        <is>
          <t>T-2548</t>
        </is>
      </c>
      <c r="H32" s="7" t="inlineStr">
        <is>
          <t>Ari-437
Jo-583
Nilo-467
Leo-336
Miro-498
Bia-458
Mia-317
Lara-415
Enzo-282</t>
        </is>
      </c>
      <c r="I32" s="7" t="inlineStr">
        <is>
          <t>TECHNICAL COVERAGE
MUST       — NOT DEFINED
SHOULD   4/5   ⚠ 1 MISSING
COULD     35/56   ⚠ 21 MISSING
MANDATORY REQUIREMENTS
No MUST requirement defined.
REDUNDANCY
Not applicable</t>
        </is>
      </c>
      <c r="J32" s="7" t="inlineStr">
        <is>
          <t>REGISTERED COLLABORATION
Pairs with history: 36/36 (100%)
██████████
Shared projects: 153 total
Mean among pairs with history: 4.3
Strongest-history pair: 9 project(s)</t>
        </is>
      </c>
      <c r="K32" s="7" t="inlineStr">
        <is>
          <t>A</t>
        </is>
      </c>
      <c r="L32" s="7" t="inlineStr">
        <is>
          <t>Escolhi a equipe A por perfil mais equilibrado entre cobertura técnica e colaboração.</t>
        </is>
      </c>
    </row>
    <row r="33">
      <c r="A33" s="7" t="inlineStr">
        <is>
          <t>C048</t>
        </is>
      </c>
      <c r="B33" s="7" t="inlineStr">
        <is>
          <t>P12</t>
        </is>
      </c>
      <c r="C33" s="7" t="inlineStr">
        <is>
          <t>T-4709</t>
        </is>
      </c>
      <c r="D33" s="7" t="inlineStr">
        <is>
          <t>Maya-335
Sam-705
Ada-716
Yuri-746</t>
        </is>
      </c>
      <c r="E33" s="7" t="inlineStr">
        <is>
          <t>TECHNICAL COVERAGE
MUST       — NOT DEFINED
SHOULD   9/9 CONFIRMED*   ✓ COMPLETE
COULD     28/28 CONFIRMED*   ✓ COMPLETE
MANDATORY REQUIREMENTS
No MUST requirement defined.
REDUNDANCY
Not applicable</t>
        </is>
      </c>
      <c r="F33" s="7" t="inlineStr">
        <is>
          <t>REGISTERED COLLABORATION
Pairs with history: 6/6 (100%)
██████████
Shared projects: 7 total
Mean among pairs with history: 1.2
Strongest-history pair: 2 project(s)</t>
        </is>
      </c>
      <c r="G33" s="7" t="inlineStr">
        <is>
          <t>T-8599</t>
        </is>
      </c>
      <c r="H33" s="7" t="inlineStr">
        <is>
          <t>Ravi-398
Lara-415
Nilo-467
Bia-458</t>
        </is>
      </c>
      <c r="I33" s="7" t="inlineStr">
        <is>
          <t>TECHNICAL COVERAGE
MUST       — NOT DEFINED
SHOULD   6/9   ⚠ 3 MISSING
COULD     21/28   ⚠ 7 MISSING
MANDATORY REQUIREMENTS
No MUST requirement defined.
REDUNDANCY
Not applicable</t>
        </is>
      </c>
      <c r="J33" s="7" t="inlineStr">
        <is>
          <t>REGISTERED COLLABORATION
Pairs with history: 6/6 (100%)
██████████
Shared projects: 23 total
Mean among pairs with history: 3.8
Strongest-history pair: 6 project(s)</t>
        </is>
      </c>
      <c r="K33" s="7" t="inlineStr">
        <is>
          <t>A</t>
        </is>
      </c>
      <c r="L33" s="7" t="inlineStr">
        <is>
          <t>Escolhi a equipe A por perfil mais equilibrado entre cobertura técnica e colaboração.</t>
        </is>
      </c>
    </row>
    <row r="34">
      <c r="A34" s="7" t="inlineStr">
        <is>
          <t>C049</t>
        </is>
      </c>
      <c r="B34" s="7" t="inlineStr">
        <is>
          <t>P11</t>
        </is>
      </c>
      <c r="C34" s="7" t="inlineStr">
        <is>
          <t>T-8779</t>
        </is>
      </c>
      <c r="D34" s="7" t="inlineStr">
        <is>
          <t>Ana-578
Luiz-324
Rosa-359
Lara-220
Hugo-543
Gael-170
Eli-503
Jade-305
Ana-448</t>
        </is>
      </c>
      <c r="E34" s="7" t="inlineStr">
        <is>
          <t>TECHNICAL COVERAGE
MUST       — NOT DEFINED
SHOULD   5/5   ✓ COMPLETE
COULD     34/56   ⚠ 22 MISSING
MANDATORY REQUIREMENTS
No MUST requirement defined.
REDUNDANCY
Not applicable</t>
        </is>
      </c>
      <c r="F34" s="7" t="inlineStr">
        <is>
          <t>REGISTERED COLLABORATION
Pairs with history: 36/36 (100%)
██████████
Shared projects: 160 total
Mean among pairs with history: 4.4
Strongest-history pair: 11 project(s)</t>
        </is>
      </c>
      <c r="G34" s="7" t="inlineStr">
        <is>
          <t>T-2548</t>
        </is>
      </c>
      <c r="H34" s="7" t="inlineStr">
        <is>
          <t>Ari-437
Jo-583
Nilo-467
Leo-336
Miro-498
Bia-458
Mia-317
Lara-415
Enzo-282</t>
        </is>
      </c>
      <c r="I34" s="7" t="inlineStr">
        <is>
          <t>TECHNICAL COVERAGE
MUST       — NOT DEFINED
SHOULD   4/5   ⚠ 1 MISSING
COULD     35/56   ⚠ 21 MISSING
MANDATORY REQUIREMENTS
No MUST requirement defined.
REDUNDANCY
Not applicable</t>
        </is>
      </c>
      <c r="J34" s="7" t="inlineStr">
        <is>
          <t>REGISTERED COLLABORATION
Pairs with history: 36/36 (100%)
██████████
Shared projects: 153 total
Mean among pairs with history: 4.3
Strongest-history pair: 9 project(s)</t>
        </is>
      </c>
      <c r="K34" s="7" t="inlineStr">
        <is>
          <t>A</t>
        </is>
      </c>
      <c r="L34" s="7" t="inlineStr">
        <is>
          <t>Escolhi a equipe A por perfil mais equilibrado entre cobertura técnica e colaboração.</t>
        </is>
      </c>
    </row>
    <row r="35">
      <c r="A35" s="7" t="inlineStr">
        <is>
          <t>C050</t>
        </is>
      </c>
      <c r="B35" s="7" t="inlineStr">
        <is>
          <t>P10</t>
        </is>
      </c>
      <c r="C35" s="7" t="inlineStr">
        <is>
          <t>T-5887</t>
        </is>
      </c>
      <c r="D35" s="7" t="inlineStr">
        <is>
          <t>Davi-615
Teo-257
Enzo-477
Gabi-94
Lino-496
Mia-382
Bela-492
Mila-27</t>
        </is>
      </c>
      <c r="E35" s="7" t="inlineStr">
        <is>
          <t>TECHNICAL COVERAGE
MUST       1/1   ✓ COMPLETE
SHOULD   26/27   ⚠ 1 MISSING
COULD     39/72   ⚠ 33 MISSING
MANDATORY REQUIREMENTS
✓ Web — 7 member(s)
REDUNDANCY
✓ 1/1 MUST covered by 2+ members</t>
        </is>
      </c>
      <c r="F35" s="7" t="inlineStr">
        <is>
          <t>REGISTERED COLLABORATION
Pairs with history: 28/28 (100%)
██████████
Shared projects: 128 total
Mean among pairs with history: 4.6
Strongest-history pair: 8 project(s)</t>
        </is>
      </c>
      <c r="G35" s="7" t="inlineStr">
        <is>
          <t>T-9473</t>
        </is>
      </c>
      <c r="H35" s="7" t="inlineStr">
        <is>
          <t>Tom-183
Mila-27
Davi-290
Gabi-354
Mia-382
Nilo-402
Davi-615
Gabi-94</t>
        </is>
      </c>
      <c r="I35" s="7" t="inlineStr">
        <is>
          <t>TECHNICAL COVERAGE
MUST       1/1   ✓ COMPLETE
SHOULD   27/27   ✓ COMPLETE
COULD     72/72   ✓ COMPLETE
MANDATORY REQUIREMENTS
✓ Web — 8 member(s)
REDUNDANCY
✓ 1/1 MUST covered by 2+ members</t>
        </is>
      </c>
      <c r="J35" s="7" t="inlineStr">
        <is>
          <t>REGISTERED COLLABORATION
Pairs with history: 28/28 (100%)
██████████
Shared projects: 105 total
Mean among pairs with history: 3.8
Strongest-history pair: 8 project(s)</t>
        </is>
      </c>
      <c r="K35" s="7" t="inlineStr">
        <is>
          <t>B</t>
        </is>
      </c>
      <c r="L35" s="7" t="inlineStr">
        <is>
          <t>Escolhi a equipe B por perfil mais equilibrado entre cobertura técnica e colaboração.</t>
        </is>
      </c>
    </row>
    <row r="36">
      <c r="A36" s="7" t="inlineStr">
        <is>
          <t>C052</t>
        </is>
      </c>
      <c r="B36" s="7" t="inlineStr">
        <is>
          <t>P16</t>
        </is>
      </c>
      <c r="C36" s="7" t="inlineStr">
        <is>
          <t>T-9373</t>
        </is>
      </c>
      <c r="D36" s="7" t="inlineStr">
        <is>
          <t>Mia-317
Iris-81
Mel-316
Nilo-467
Lara-415
Jade-370
Ravi-398
Leo-336
Enzo-282</t>
        </is>
      </c>
      <c r="E36" s="7" t="inlineStr">
        <is>
          <t>TECHNICAL COVERAGE
MUST       — NOT DEFINED
SHOULD   10/12   ⚠ 2 MISSING
COULD     33/57   ⚠ 24 MISSING
MANDATORY REQUIREMENTS
No MUST requirement defined.
REDUNDANCY
Not applicable</t>
        </is>
      </c>
      <c r="F36" s="7" t="inlineStr">
        <is>
          <t>REGISTERED COLLABORATION
Pairs with history: 36/36 (100%)
██████████
Shared projects: 201 total
Mean among pairs with history: 5.6
Strongest-history pair: 12 project(s)</t>
        </is>
      </c>
      <c r="G36" s="7" t="inlineStr">
        <is>
          <t>T-4887</t>
        </is>
      </c>
      <c r="H36" s="7" t="inlineStr">
        <is>
          <t>Ivo-265
Otto-281
Ceci-363
Max-509
Tina-620
Mila-677
Lila-692
Maya-725
Lila-757</t>
        </is>
      </c>
      <c r="I36" s="7" t="inlineStr">
        <is>
          <t>TECHNICAL COVERAGE
MUST       — NOT DEFINED
SHOULD   12/12 CONFIRMED*   ✓ COMPLETE
COULD     57/57 CONFIRMED*   ✓ COMPLETE
MANDATORY REQUIREMENTS
No MUST requirement defined.
REDUNDANCY
Not applicable</t>
        </is>
      </c>
      <c r="J36" s="7" t="inlineStr">
        <is>
          <t>REGISTERED COLLABORATION
Pairs with history: 36/36 (100%)
██████████
Shared projects: 66 total
Mean among pairs with history: 1.8
Strongest-history pair: 5 project(s)</t>
        </is>
      </c>
      <c r="K36" s="7" t="inlineStr">
        <is>
          <t>B</t>
        </is>
      </c>
      <c r="L36" s="7" t="inlineStr">
        <is>
          <t>Escolhi a equipe B por perfil mais equilibrado entre cobertura técnica e colaboração.</t>
        </is>
      </c>
    </row>
    <row r="38">
      <c r="A38" s="9" t="inlineStr">
        <is>
          <t>Original source field names, in column order:</t>
        </is>
      </c>
    </row>
    <row r="39">
      <c r="A39" s="9" t="inlineStr">
        <is>
          <t>Row, Project, Team A, Team A — roster, Team A — Technical indicators, Team A — Collaboration indicators, Team B, Team B — roster, Team B — Technical indicators, Team B — Collaboration indicators, Q1. Which team better fits this project?, Q2. Anything you would add? (optional)</t>
        </is>
      </c>
    </row>
    <row r="40">
      <c r="A40" s="9" t="inlineStr">
        <is>
          <t>Row 3 (Row = EXAMPLE) is an illustrative worked example distributed with the workbook, not a real participant response; it is excluded from all Summary tallies. The 19 GA-calibrated-vs-LLM rows originally present in the source file were removed (see README, Data preservation and provenance).</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4" customWidth="1" min="3" max="3"/>
    <col width="9" customWidth="1" min="4" max="4"/>
    <col width="15" customWidth="1" min="5" max="5"/>
    <col width="30" customWidth="1" min="6" max="6"/>
    <col width="9" customWidth="1" min="7" max="7"/>
    <col width="15" customWidth="1" min="8" max="8"/>
    <col width="30" customWidth="1" min="9" max="9"/>
    <col width="10" customWidth="1" min="10" max="10"/>
    <col width="12" customWidth="1" min="11" max="11"/>
    <col width="15" customWidth="1" min="12" max="12"/>
    <col width="10" customWidth="1" min="13" max="13"/>
    <col width="10" customWidth="1" min="14" max="14"/>
    <col width="10" customWidth="1" min="15" max="15"/>
    <col width="12" customWidth="1" min="16" max="16"/>
    <col width="12" customWidth="1" min="17" max="17"/>
    <col width="40" customWidth="1" min="18" max="18"/>
    <col width="30" customWidth="1" min="19" max="19"/>
  </cols>
  <sheetData>
    <row r="1">
      <c r="A1" s="8" t="inlineStr">
        <is>
          <t>Row ID</t>
        </is>
      </c>
      <c r="B1" s="8" t="inlineStr">
        <is>
          <t>Project</t>
        </is>
      </c>
      <c r="C1" s="8" t="inlineStr">
        <is>
          <t>Comparison Type</t>
        </is>
      </c>
      <c r="D1" s="8" t="inlineStr">
        <is>
          <t>Team A Code</t>
        </is>
      </c>
      <c r="E1" s="8" t="inlineStr">
        <is>
          <t>Team A Origin</t>
        </is>
      </c>
      <c r="F1" s="8" t="inlineStr">
        <is>
          <t>Team A Member IDs</t>
        </is>
      </c>
      <c r="G1" s="8" t="inlineStr">
        <is>
          <t>Team B Code</t>
        </is>
      </c>
      <c r="H1" s="8" t="inlineStr">
        <is>
          <t>Team B Origin</t>
        </is>
      </c>
      <c r="I1" s="8" t="inlineStr">
        <is>
          <t>Team B Member IDs</t>
        </is>
      </c>
      <c r="J1" s="8" t="inlineStr">
        <is>
          <t>Participant Response</t>
        </is>
      </c>
      <c r="K1" s="8" t="inlineStr">
        <is>
          <t>Chosen Team Code</t>
        </is>
      </c>
      <c r="L1" s="8" t="inlineStr">
        <is>
          <t>Chosen Origin</t>
        </is>
      </c>
      <c r="M1" s="8" t="inlineStr">
        <is>
          <t>Calibrated GA Won?</t>
        </is>
      </c>
      <c r="N1" s="8" t="inlineStr">
        <is>
          <t>Planned Repetition?</t>
        </is>
      </c>
      <c r="O1" s="8" t="inlineStr">
        <is>
          <t>Related Row</t>
        </is>
      </c>
      <c r="P1" s="8" t="inlineStr">
        <is>
          <t>Repeated-Composition Group</t>
        </is>
      </c>
      <c r="Q1" s="8" t="inlineStr">
        <is>
          <t>Consistency</t>
        </is>
      </c>
      <c r="R1" s="8" t="inlineStr">
        <is>
          <t>Consistency Note</t>
        </is>
      </c>
      <c r="S1" s="8" t="inlineStr">
        <is>
          <t>Participant Comment</t>
        </is>
      </c>
    </row>
    <row r="2">
      <c r="A2" s="7" t="inlineStr">
        <is>
          <t>C001</t>
        </is>
      </c>
      <c r="B2" s="7" t="inlineStr">
        <is>
          <t>P10</t>
        </is>
      </c>
      <c r="C2" s="7" t="inlineStr">
        <is>
          <t>GA calibrado × equipe histórica</t>
        </is>
      </c>
      <c r="D2" s="7" t="inlineStr">
        <is>
          <t>T-9473</t>
        </is>
      </c>
      <c r="E2" s="7" t="inlineStr">
        <is>
          <t>Equipe histórica</t>
        </is>
      </c>
      <c r="F2" s="7" t="inlineStr">
        <is>
          <t>27, 94, 183, 290, 354, 382, 402, 615</t>
        </is>
      </c>
      <c r="G2" s="7" t="inlineStr">
        <is>
          <t>T-5887</t>
        </is>
      </c>
      <c r="H2" s="7" t="inlineStr">
        <is>
          <t>GA calibrado</t>
        </is>
      </c>
      <c r="I2" s="7" t="inlineStr">
        <is>
          <t>27, 94, 257, 382, 477, 492, 496, 615</t>
        </is>
      </c>
      <c r="J2" s="7" t="inlineStr">
        <is>
          <t>A</t>
        </is>
      </c>
      <c r="K2" s="7" t="inlineStr">
        <is>
          <t>T-9473</t>
        </is>
      </c>
      <c r="L2" s="7" t="inlineStr">
        <is>
          <t>Equipe histórica</t>
        </is>
      </c>
      <c r="M2" s="7" t="inlineStr">
        <is>
          <t>Não</t>
        </is>
      </c>
      <c r="N2" s="7" t="inlineStr">
        <is>
          <t>Não</t>
        </is>
      </c>
      <c r="O2" s="7" t="n"/>
      <c r="P2" s="7" t="inlineStr">
        <is>
          <t>R01</t>
        </is>
      </c>
      <c r="Q2" s="7" t="inlineStr">
        <is>
          <t>Consistente</t>
        </is>
      </c>
      <c r="R2" s="7" t="inlineStr">
        <is>
          <t>A mesma dupla de composições foi avaliada mais de uma vez; a decisão normalizada pelo conjunto de integrantes foi mantida.</t>
        </is>
      </c>
      <c r="S2" s="7" t="n"/>
    </row>
    <row r="3">
      <c r="A3" s="7" t="inlineStr">
        <is>
          <t>C004</t>
        </is>
      </c>
      <c r="B3" s="7" t="inlineStr">
        <is>
          <t>P4</t>
        </is>
      </c>
      <c r="C3" s="7" t="inlineStr">
        <is>
          <t>GA calibrado × equipe histórica</t>
        </is>
      </c>
      <c r="D3" s="7" t="inlineStr">
        <is>
          <t>T-1128</t>
        </is>
      </c>
      <c r="E3" s="7" t="inlineStr">
        <is>
          <t>Equipe histórica</t>
        </is>
      </c>
      <c r="F3" s="7" t="inlineStr">
        <is>
          <t>105, 142, 225, 354, 490, 532, 551, 686, 728</t>
        </is>
      </c>
      <c r="G3" s="7" t="inlineStr">
        <is>
          <t>T-2703</t>
        </is>
      </c>
      <c r="H3" s="7" t="inlineStr">
        <is>
          <t>GA calibrado</t>
        </is>
      </c>
      <c r="I3" s="7" t="inlineStr">
        <is>
          <t>27, 94, 257, 382, 477, 492, 496, 500, 615</t>
        </is>
      </c>
      <c r="J3" s="7" t="inlineStr">
        <is>
          <t>A</t>
        </is>
      </c>
      <c r="K3" s="7" t="inlineStr">
        <is>
          <t>T-1128</t>
        </is>
      </c>
      <c r="L3" s="7" t="inlineStr">
        <is>
          <t>Equipe histórica</t>
        </is>
      </c>
      <c r="M3" s="7" t="inlineStr">
        <is>
          <t>Não</t>
        </is>
      </c>
      <c r="N3" s="7" t="inlineStr">
        <is>
          <t>Sim</t>
        </is>
      </c>
      <c r="O3" s="7" t="inlineStr">
        <is>
          <t>C006</t>
        </is>
      </c>
      <c r="P3" s="7" t="inlineStr">
        <is>
          <t>R04</t>
        </is>
      </c>
      <c r="Q3" s="7" t="inlineStr">
        <is>
          <t>Consistente</t>
        </is>
      </c>
      <c r="R3" s="7" t="inlineStr">
        <is>
          <t>A mesma dupla de composições foi avaliada mais de uma vez; a decisão normalizada pelo conjunto de integrantes foi mantida.</t>
        </is>
      </c>
      <c r="S3" s="7" t="n"/>
    </row>
    <row r="4">
      <c r="A4" s="7" t="inlineStr">
        <is>
          <t>C005</t>
        </is>
      </c>
      <c r="B4" s="7" t="inlineStr">
        <is>
          <t>P14</t>
        </is>
      </c>
      <c r="C4" s="7" t="inlineStr">
        <is>
          <t>GA calibrado × equipe histórica</t>
        </is>
      </c>
      <c r="D4" s="7" t="inlineStr">
        <is>
          <t>T-2098</t>
        </is>
      </c>
      <c r="E4" s="7" t="inlineStr">
        <is>
          <t>GA calibrado</t>
        </is>
      </c>
      <c r="F4" s="7" t="inlineStr">
        <is>
          <t>220, 357, 359, 503</t>
        </is>
      </c>
      <c r="G4" s="7" t="inlineStr">
        <is>
          <t>T-5194</t>
        </is>
      </c>
      <c r="H4" s="7" t="inlineStr">
        <is>
          <t>Equipe histórica</t>
        </is>
      </c>
      <c r="I4" s="7" t="inlineStr">
        <is>
          <t>468, 637, 705, 744</t>
        </is>
      </c>
      <c r="J4" s="7" t="inlineStr">
        <is>
          <t>B</t>
        </is>
      </c>
      <c r="K4" s="7" t="inlineStr">
        <is>
          <t>T-5194</t>
        </is>
      </c>
      <c r="L4" s="7" t="inlineStr">
        <is>
          <t>Equipe histórica</t>
        </is>
      </c>
      <c r="M4" s="7" t="inlineStr">
        <is>
          <t>Não</t>
        </is>
      </c>
      <c r="N4" s="7" t="inlineStr">
        <is>
          <t>Não</t>
        </is>
      </c>
      <c r="O4" s="7" t="n"/>
      <c r="P4" s="7" t="n"/>
      <c r="Q4" s="7" t="inlineStr">
        <is>
          <t>Não se aplica</t>
        </is>
      </c>
      <c r="R4" s="7" t="inlineStr">
        <is>
          <t>Comparação única para esta dupla de composições.</t>
        </is>
      </c>
      <c r="S4" s="7" t="n"/>
    </row>
    <row r="5">
      <c r="A5" s="7" t="inlineStr">
        <is>
          <t>C006</t>
        </is>
      </c>
      <c r="B5" s="7" t="inlineStr">
        <is>
          <t>P4</t>
        </is>
      </c>
      <c r="C5" s="7" t="inlineStr">
        <is>
          <t>GA calibrado × equipe histórica</t>
        </is>
      </c>
      <c r="D5" s="7" t="inlineStr">
        <is>
          <t>T-2703</t>
        </is>
      </c>
      <c r="E5" s="7" t="inlineStr">
        <is>
          <t>GA calibrado</t>
        </is>
      </c>
      <c r="F5" s="7" t="inlineStr">
        <is>
          <t>27, 94, 257, 382, 477, 492, 496, 500, 615</t>
        </is>
      </c>
      <c r="G5" s="7" t="inlineStr">
        <is>
          <t>T-1128</t>
        </is>
      </c>
      <c r="H5" s="7" t="inlineStr">
        <is>
          <t>Equipe histórica</t>
        </is>
      </c>
      <c r="I5" s="7" t="inlineStr">
        <is>
          <t>105, 142, 225, 354, 490, 532, 551, 686, 728</t>
        </is>
      </c>
      <c r="J5" s="7" t="inlineStr">
        <is>
          <t>B</t>
        </is>
      </c>
      <c r="K5" s="7" t="inlineStr">
        <is>
          <t>T-1128</t>
        </is>
      </c>
      <c r="L5" s="7" t="inlineStr">
        <is>
          <t>Equipe histórica</t>
        </is>
      </c>
      <c r="M5" s="7" t="inlineStr">
        <is>
          <t>Não</t>
        </is>
      </c>
      <c r="N5" s="7" t="inlineStr">
        <is>
          <t>Não</t>
        </is>
      </c>
      <c r="O5" s="7" t="n"/>
      <c r="P5" s="7" t="inlineStr">
        <is>
          <t>R04</t>
        </is>
      </c>
      <c r="Q5" s="7" t="inlineStr">
        <is>
          <t>Consistente</t>
        </is>
      </c>
      <c r="R5" s="7" t="inlineStr">
        <is>
          <t>A mesma dupla de composições foi avaliada mais de uma vez; a decisão normalizada pelo conjunto de integrantes foi mantida.</t>
        </is>
      </c>
      <c r="S5" s="7" t="n"/>
    </row>
    <row r="6">
      <c r="A6" s="7" t="inlineStr">
        <is>
          <t>C007</t>
        </is>
      </c>
      <c r="B6" s="7" t="inlineStr">
        <is>
          <t>P8</t>
        </is>
      </c>
      <c r="C6" s="7" t="inlineStr">
        <is>
          <t>GA calibrado × GA uniforme</t>
        </is>
      </c>
      <c r="D6" s="7" t="inlineStr">
        <is>
          <t>T-1457</t>
        </is>
      </c>
      <c r="E6" s="7" t="inlineStr">
        <is>
          <t>GA calibrado</t>
        </is>
      </c>
      <c r="F6" s="7" t="inlineStr">
        <is>
          <t>81, 336, 370, 398, 415</t>
        </is>
      </c>
      <c r="G6" s="7" t="inlineStr">
        <is>
          <t>T-7723</t>
        </is>
      </c>
      <c r="H6" s="7" t="inlineStr">
        <is>
          <t>GA uniforme</t>
        </is>
      </c>
      <c r="I6" s="7" t="inlineStr">
        <is>
          <t>81, 282, 336, 370, 415</t>
        </is>
      </c>
      <c r="J6" s="7" t="inlineStr">
        <is>
          <t>B</t>
        </is>
      </c>
      <c r="K6" s="7" t="inlineStr">
        <is>
          <t>T-7723</t>
        </is>
      </c>
      <c r="L6" s="7" t="inlineStr">
        <is>
          <t>GA uniforme</t>
        </is>
      </c>
      <c r="M6" s="7" t="inlineStr">
        <is>
          <t>Não</t>
        </is>
      </c>
      <c r="N6" s="7" t="inlineStr">
        <is>
          <t>Não</t>
        </is>
      </c>
      <c r="O6" s="7" t="n"/>
      <c r="P6" s="7" t="n"/>
      <c r="Q6" s="7" t="inlineStr">
        <is>
          <t>Não se aplica</t>
        </is>
      </c>
      <c r="R6" s="7" t="inlineStr">
        <is>
          <t>Comparação única para esta dupla de composições.</t>
        </is>
      </c>
      <c r="S6" s="7" t="n"/>
    </row>
    <row r="7">
      <c r="A7" s="7" t="inlineStr">
        <is>
          <t>C010</t>
        </is>
      </c>
      <c r="B7" s="7" t="inlineStr">
        <is>
          <t>P3</t>
        </is>
      </c>
      <c r="C7" s="7" t="inlineStr">
        <is>
          <t>GA calibrado × equipe histórica</t>
        </is>
      </c>
      <c r="D7" s="7" t="inlineStr">
        <is>
          <t>T-6676</t>
        </is>
      </c>
      <c r="E7" s="7" t="inlineStr">
        <is>
          <t>GA calibrado</t>
        </is>
      </c>
      <c r="F7" s="7" t="inlineStr">
        <is>
          <t>211, 282, 336, 370, 415</t>
        </is>
      </c>
      <c r="G7" s="7" t="inlineStr">
        <is>
          <t>T-4824</t>
        </is>
      </c>
      <c r="H7" s="7" t="inlineStr">
        <is>
          <t>Equipe histórica</t>
        </is>
      </c>
      <c r="I7" s="7" t="inlineStr">
        <is>
          <t>82, 241, 453, 473, 538</t>
        </is>
      </c>
      <c r="J7" s="7" t="inlineStr">
        <is>
          <t>B</t>
        </is>
      </c>
      <c r="K7" s="7" t="inlineStr">
        <is>
          <t>T-4824</t>
        </is>
      </c>
      <c r="L7" s="7" t="inlineStr">
        <is>
          <t>Equipe histórica</t>
        </is>
      </c>
      <c r="M7" s="7" t="inlineStr">
        <is>
          <t>Não</t>
        </is>
      </c>
      <c r="N7" s="7" t="inlineStr">
        <is>
          <t>Sim</t>
        </is>
      </c>
      <c r="O7" s="7" t="inlineStr">
        <is>
          <t>C022</t>
        </is>
      </c>
      <c r="P7" s="7" t="inlineStr">
        <is>
          <t>R05</t>
        </is>
      </c>
      <c r="Q7" s="7" t="inlineStr">
        <is>
          <t>Consistente</t>
        </is>
      </c>
      <c r="R7" s="7" t="inlineStr">
        <is>
          <t>A mesma dupla de composições foi avaliada mais de uma vez; a decisão normalizada pelo conjunto de integrantes foi mantida.</t>
        </is>
      </c>
      <c r="S7" s="7" t="n"/>
    </row>
    <row r="8">
      <c r="A8" s="7" t="inlineStr">
        <is>
          <t>C011</t>
        </is>
      </c>
      <c r="B8" s="7" t="inlineStr">
        <is>
          <t>P9</t>
        </is>
      </c>
      <c r="C8" s="7" t="inlineStr">
        <is>
          <t>GA calibrado × GA uniforme</t>
        </is>
      </c>
      <c r="D8" s="7" t="inlineStr">
        <is>
          <t>T-1384</t>
        </is>
      </c>
      <c r="E8" s="7" t="inlineStr">
        <is>
          <t>GA calibrado</t>
        </is>
      </c>
      <c r="F8" s="7" t="inlineStr">
        <is>
          <t>94, 290, 382, 484, 560, 647</t>
        </is>
      </c>
      <c r="G8" s="7" t="inlineStr">
        <is>
          <t>T-8573</t>
        </is>
      </c>
      <c r="H8" s="7" t="inlineStr">
        <is>
          <t>GA uniforme</t>
        </is>
      </c>
      <c r="I8" s="7" t="inlineStr">
        <is>
          <t>282, 335, 336, 398, 415, 467</t>
        </is>
      </c>
      <c r="J8" s="7" t="inlineStr">
        <is>
          <t>Equivalente</t>
        </is>
      </c>
      <c r="K8" s="7" t="n"/>
      <c r="L8" s="7" t="inlineStr">
        <is>
          <t>Equivalente</t>
        </is>
      </c>
      <c r="M8" s="7" t="inlineStr">
        <is>
          <t>Empate</t>
        </is>
      </c>
      <c r="N8" s="7" t="inlineStr">
        <is>
          <t>Sim</t>
        </is>
      </c>
      <c r="O8" s="7" t="inlineStr">
        <is>
          <t>C034</t>
        </is>
      </c>
      <c r="P8" s="7" t="inlineStr">
        <is>
          <t>R06</t>
        </is>
      </c>
      <c r="Q8" s="7" t="inlineStr">
        <is>
          <t>Inconsistente</t>
        </is>
      </c>
      <c r="R8" s="7" t="inlineStr">
        <is>
          <t>A mesma dupla de composições foi avaliada mais de uma vez, mas a composição escolhida mudou.</t>
        </is>
      </c>
      <c r="S8" s="7" t="n"/>
    </row>
    <row r="9">
      <c r="A9" s="7" t="inlineStr">
        <is>
          <t>C012</t>
        </is>
      </c>
      <c r="B9" s="7" t="inlineStr">
        <is>
          <t>P2</t>
        </is>
      </c>
      <c r="C9" s="7" t="inlineStr">
        <is>
          <t>GA calibrado × GA uniforme</t>
        </is>
      </c>
      <c r="D9" s="7" t="inlineStr">
        <is>
          <t>T-9068</t>
        </is>
      </c>
      <c r="E9" s="7" t="inlineStr">
        <is>
          <t>GA uniforme</t>
        </is>
      </c>
      <c r="F9" s="7" t="inlineStr">
        <is>
          <t>94, 183, 290, 382, 402, 484, 500, 560</t>
        </is>
      </c>
      <c r="G9" s="7" t="inlineStr">
        <is>
          <t>T-4526</t>
        </is>
      </c>
      <c r="H9" s="7" t="inlineStr">
        <is>
          <t>GA calibrado</t>
        </is>
      </c>
      <c r="I9" s="7" t="inlineStr">
        <is>
          <t>7, 33, 94, 290, 397, 447, 484, 560</t>
        </is>
      </c>
      <c r="J9" s="7" t="inlineStr">
        <is>
          <t>A</t>
        </is>
      </c>
      <c r="K9" s="7" t="inlineStr">
        <is>
          <t>T-9068</t>
        </is>
      </c>
      <c r="L9" s="7" t="inlineStr">
        <is>
          <t>GA uniforme</t>
        </is>
      </c>
      <c r="M9" s="7" t="inlineStr">
        <is>
          <t>Não</t>
        </is>
      </c>
      <c r="N9" s="7" t="inlineStr">
        <is>
          <t>Não</t>
        </is>
      </c>
      <c r="O9" s="7" t="n"/>
      <c r="P9" s="7" t="n"/>
      <c r="Q9" s="7" t="inlineStr">
        <is>
          <t>Não se aplica</t>
        </is>
      </c>
      <c r="R9" s="7" t="inlineStr">
        <is>
          <t>Comparação única para esta dupla de composições.</t>
        </is>
      </c>
      <c r="S9" s="7" t="n"/>
    </row>
    <row r="10">
      <c r="A10" s="7" t="inlineStr">
        <is>
          <t>C013</t>
        </is>
      </c>
      <c r="B10" s="7" t="inlineStr">
        <is>
          <t>P16</t>
        </is>
      </c>
      <c r="C10" s="7" t="inlineStr">
        <is>
          <t>GA calibrado × GA uniforme</t>
        </is>
      </c>
      <c r="D10" s="7" t="inlineStr">
        <is>
          <t>T-9373</t>
        </is>
      </c>
      <c r="E10" s="7" t="inlineStr">
        <is>
          <t>GA calibrado</t>
        </is>
      </c>
      <c r="F10" s="7" t="inlineStr">
        <is>
          <t>81, 282, 316, 317, 336, 370, 398, 415, 467</t>
        </is>
      </c>
      <c r="G10" s="7" t="inlineStr">
        <is>
          <t>T-9137</t>
        </is>
      </c>
      <c r="H10" s="7" t="inlineStr">
        <is>
          <t>GA uniforme</t>
        </is>
      </c>
      <c r="I10" s="7" t="inlineStr">
        <is>
          <t>65, 94, 181, 183, 290, 363, 382, 500, 560</t>
        </is>
      </c>
      <c r="J10" s="7" t="inlineStr">
        <is>
          <t>A</t>
        </is>
      </c>
      <c r="K10" s="7" t="inlineStr">
        <is>
          <t>T-9373</t>
        </is>
      </c>
      <c r="L10" s="7" t="inlineStr">
        <is>
          <t>GA calibrado</t>
        </is>
      </c>
      <c r="M10" s="7" t="inlineStr">
        <is>
          <t>Sim</t>
        </is>
      </c>
      <c r="N10" s="7" t="inlineStr">
        <is>
          <t>Não</t>
        </is>
      </c>
      <c r="O10" s="7" t="n"/>
      <c r="P10" s="7" t="n"/>
      <c r="Q10" s="7" t="inlineStr">
        <is>
          <t>Não se aplica</t>
        </is>
      </c>
      <c r="R10" s="7" t="inlineStr">
        <is>
          <t>Comparação única para esta dupla de composições.</t>
        </is>
      </c>
      <c r="S10" s="7" t="n"/>
    </row>
    <row r="11">
      <c r="A11" s="7" t="inlineStr">
        <is>
          <t>C014</t>
        </is>
      </c>
      <c r="B11" s="7" t="inlineStr">
        <is>
          <t>P13</t>
        </is>
      </c>
      <c r="C11" s="7" t="inlineStr">
        <is>
          <t>GA calibrado × GA uniforme</t>
        </is>
      </c>
      <c r="D11" s="7" t="inlineStr">
        <is>
          <t>T-2072</t>
        </is>
      </c>
      <c r="E11" s="7" t="inlineStr">
        <is>
          <t>GA uniforme</t>
        </is>
      </c>
      <c r="F11" s="7" t="inlineStr">
        <is>
          <t>316, 571, 589, 700</t>
        </is>
      </c>
      <c r="G11" s="7" t="inlineStr">
        <is>
          <t>T-1559</t>
        </is>
      </c>
      <c r="H11" s="7" t="inlineStr">
        <is>
          <t>GA calibrado</t>
        </is>
      </c>
      <c r="I11" s="7" t="inlineStr">
        <is>
          <t>498, 583, 589, 720</t>
        </is>
      </c>
      <c r="J11" s="7" t="inlineStr">
        <is>
          <t>B</t>
        </is>
      </c>
      <c r="K11" s="7" t="inlineStr">
        <is>
          <t>T-1559</t>
        </is>
      </c>
      <c r="L11" s="7" t="inlineStr">
        <is>
          <t>GA calibrado</t>
        </is>
      </c>
      <c r="M11" s="7" t="inlineStr">
        <is>
          <t>Sim</t>
        </is>
      </c>
      <c r="N11" s="7" t="inlineStr">
        <is>
          <t>Não</t>
        </is>
      </c>
      <c r="O11" s="7" t="n"/>
      <c r="P11" s="7" t="n"/>
      <c r="Q11" s="7" t="inlineStr">
        <is>
          <t>Não se aplica</t>
        </is>
      </c>
      <c r="R11" s="7" t="inlineStr">
        <is>
          <t>Comparação única para esta dupla de composições.</t>
        </is>
      </c>
      <c r="S11" s="7" t="n"/>
    </row>
    <row r="12">
      <c r="A12" s="7" t="inlineStr">
        <is>
          <t>C015</t>
        </is>
      </c>
      <c r="B12" s="7" t="inlineStr">
        <is>
          <t>P15</t>
        </is>
      </c>
      <c r="C12" s="7" t="inlineStr">
        <is>
          <t>GA calibrado × equipe histórica</t>
        </is>
      </c>
      <c r="D12" s="7" t="inlineStr">
        <is>
          <t>T-9656</t>
        </is>
      </c>
      <c r="E12" s="7" t="inlineStr">
        <is>
          <t>GA calibrado</t>
        </is>
      </c>
      <c r="F12" s="7" t="inlineStr">
        <is>
          <t>467, 498, 563, 570, 583</t>
        </is>
      </c>
      <c r="G12" s="7" t="inlineStr">
        <is>
          <t>T-7475</t>
        </is>
      </c>
      <c r="H12" s="7" t="inlineStr">
        <is>
          <t>Equipe histórica</t>
        </is>
      </c>
      <c r="I12" s="7" t="inlineStr">
        <is>
          <t>247, 398, 582, 608, 705</t>
        </is>
      </c>
      <c r="J12" s="7" t="inlineStr">
        <is>
          <t>A</t>
        </is>
      </c>
      <c r="K12" s="7" t="inlineStr">
        <is>
          <t>T-9656</t>
        </is>
      </c>
      <c r="L12" s="7" t="inlineStr">
        <is>
          <t>GA calibrado</t>
        </is>
      </c>
      <c r="M12" s="7" t="inlineStr">
        <is>
          <t>Sim</t>
        </is>
      </c>
      <c r="N12" s="7" t="inlineStr">
        <is>
          <t>Não</t>
        </is>
      </c>
      <c r="O12" s="7" t="n"/>
      <c r="P12" s="7" t="n"/>
      <c r="Q12" s="7" t="inlineStr">
        <is>
          <t>Não se aplica</t>
        </is>
      </c>
      <c r="R12" s="7" t="inlineStr">
        <is>
          <t>Comparação única para esta dupla de composições.</t>
        </is>
      </c>
      <c r="S12" s="7" t="n"/>
    </row>
    <row r="13">
      <c r="A13" s="7" t="inlineStr">
        <is>
          <t>C017</t>
        </is>
      </c>
      <c r="B13" s="7" t="inlineStr">
        <is>
          <t>P1</t>
        </is>
      </c>
      <c r="C13" s="7" t="inlineStr">
        <is>
          <t>GA calibrado × equipe histórica</t>
        </is>
      </c>
      <c r="D13" s="7" t="inlineStr">
        <is>
          <t>T-6473</t>
        </is>
      </c>
      <c r="E13" s="7" t="inlineStr">
        <is>
          <t>GA calibrado</t>
        </is>
      </c>
      <c r="F13" s="7" t="inlineStr">
        <is>
          <t>170, 220, 305, 324, 359, 448, 503, 543, 578</t>
        </is>
      </c>
      <c r="G13" s="7" t="inlineStr">
        <is>
          <t>T-2735</t>
        </is>
      </c>
      <c r="H13" s="7" t="inlineStr">
        <is>
          <t>Equipe histórica</t>
        </is>
      </c>
      <c r="I13" s="7" t="inlineStr">
        <is>
          <t>18, 27, 63, 178, 435, 447, 482, 636, 655</t>
        </is>
      </c>
      <c r="J13" s="7" t="inlineStr">
        <is>
          <t>Equivalente</t>
        </is>
      </c>
      <c r="K13" s="7" t="n"/>
      <c r="L13" s="7" t="inlineStr">
        <is>
          <t>Equivalente</t>
        </is>
      </c>
      <c r="M13" s="7" t="inlineStr">
        <is>
          <t>Empate</t>
        </is>
      </c>
      <c r="N13" s="7" t="inlineStr">
        <is>
          <t>Não</t>
        </is>
      </c>
      <c r="O13" s="7" t="n"/>
      <c r="P13" s="7" t="n"/>
      <c r="Q13" s="7" t="inlineStr">
        <is>
          <t>Não se aplica</t>
        </is>
      </c>
      <c r="R13" s="7" t="inlineStr">
        <is>
          <t>Comparação única para esta dupla de composições.</t>
        </is>
      </c>
      <c r="S13" s="7" t="n"/>
    </row>
    <row r="14">
      <c r="A14" s="7" t="inlineStr">
        <is>
          <t>C018</t>
        </is>
      </c>
      <c r="B14" s="7" t="inlineStr">
        <is>
          <t>P2</t>
        </is>
      </c>
      <c r="C14" s="7" t="inlineStr">
        <is>
          <t>GA calibrado × equipe histórica</t>
        </is>
      </c>
      <c r="D14" s="7" t="inlineStr">
        <is>
          <t>T-9319</t>
        </is>
      </c>
      <c r="E14" s="7" t="inlineStr">
        <is>
          <t>Equipe histórica</t>
        </is>
      </c>
      <c r="F14" s="7" t="inlineStr">
        <is>
          <t>169, 177, 222, 457, 479, 545, 550, 676</t>
        </is>
      </c>
      <c r="G14" s="7" t="inlineStr">
        <is>
          <t>T-4526</t>
        </is>
      </c>
      <c r="H14" s="7" t="inlineStr">
        <is>
          <t>GA calibrado</t>
        </is>
      </c>
      <c r="I14" s="7" t="inlineStr">
        <is>
          <t>7, 33, 94, 290, 397, 447, 484, 560</t>
        </is>
      </c>
      <c r="J14" s="7" t="inlineStr">
        <is>
          <t>B</t>
        </is>
      </c>
      <c r="K14" s="7" t="inlineStr">
        <is>
          <t>T-4526</t>
        </is>
      </c>
      <c r="L14" s="7" t="inlineStr">
        <is>
          <t>GA calibrado</t>
        </is>
      </c>
      <c r="M14" s="7" t="inlineStr">
        <is>
          <t>Sim</t>
        </is>
      </c>
      <c r="N14" s="7" t="inlineStr">
        <is>
          <t>Não</t>
        </is>
      </c>
      <c r="O14" s="7" t="n"/>
      <c r="P14" s="7" t="inlineStr">
        <is>
          <t>R07</t>
        </is>
      </c>
      <c r="Q14" s="7" t="inlineStr">
        <is>
          <t>Inconsistente</t>
        </is>
      </c>
      <c r="R14" s="7" t="inlineStr">
        <is>
          <t>A mesma dupla de composições foi avaliada mais de uma vez, mas a composição escolhida mudou.</t>
        </is>
      </c>
      <c r="S14" s="7" t="n"/>
    </row>
    <row r="15">
      <c r="A15" s="7" t="inlineStr">
        <is>
          <t>C022</t>
        </is>
      </c>
      <c r="B15" s="7" t="inlineStr">
        <is>
          <t>P3</t>
        </is>
      </c>
      <c r="C15" s="7" t="inlineStr">
        <is>
          <t>GA calibrado × equipe histórica</t>
        </is>
      </c>
      <c r="D15" s="7" t="inlineStr">
        <is>
          <t>T-4824</t>
        </is>
      </c>
      <c r="E15" s="7" t="inlineStr">
        <is>
          <t>Equipe histórica</t>
        </is>
      </c>
      <c r="F15" s="7" t="inlineStr">
        <is>
          <t>82, 241, 453, 473, 538</t>
        </is>
      </c>
      <c r="G15" s="7" t="inlineStr">
        <is>
          <t>T-6676</t>
        </is>
      </c>
      <c r="H15" s="7" t="inlineStr">
        <is>
          <t>GA calibrado</t>
        </is>
      </c>
      <c r="I15" s="7" t="inlineStr">
        <is>
          <t>211, 282, 336, 370, 415</t>
        </is>
      </c>
      <c r="J15" s="7" t="inlineStr">
        <is>
          <t>A</t>
        </is>
      </c>
      <c r="K15" s="7" t="inlineStr">
        <is>
          <t>T-4824</t>
        </is>
      </c>
      <c r="L15" s="7" t="inlineStr">
        <is>
          <t>Equipe histórica</t>
        </is>
      </c>
      <c r="M15" s="7" t="inlineStr">
        <is>
          <t>Não</t>
        </is>
      </c>
      <c r="N15" s="7" t="inlineStr">
        <is>
          <t>Não</t>
        </is>
      </c>
      <c r="O15" s="7" t="n"/>
      <c r="P15" s="7" t="inlineStr">
        <is>
          <t>R05</t>
        </is>
      </c>
      <c r="Q15" s="7" t="inlineStr">
        <is>
          <t>Consistente</t>
        </is>
      </c>
      <c r="R15" s="7" t="inlineStr">
        <is>
          <t>A mesma dupla de composições foi avaliada mais de uma vez; a decisão normalizada pelo conjunto de integrantes foi mantida.</t>
        </is>
      </c>
      <c r="S15" s="7" t="n"/>
    </row>
    <row r="16">
      <c r="A16" s="7" t="inlineStr">
        <is>
          <t>C023</t>
        </is>
      </c>
      <c r="B16" s="7" t="inlineStr">
        <is>
          <t>P12</t>
        </is>
      </c>
      <c r="C16" s="7" t="inlineStr">
        <is>
          <t>GA calibrado × GA uniforme</t>
        </is>
      </c>
      <c r="D16" s="7" t="inlineStr">
        <is>
          <t>T-7216</t>
        </is>
      </c>
      <c r="E16" s="7" t="inlineStr">
        <is>
          <t>GA uniforme</t>
        </is>
      </c>
      <c r="F16" s="7" t="inlineStr">
        <is>
          <t>317, 398, 467, 498</t>
        </is>
      </c>
      <c r="G16" s="7" t="inlineStr">
        <is>
          <t>T-8599</t>
        </is>
      </c>
      <c r="H16" s="7" t="inlineStr">
        <is>
          <t>GA calibrado</t>
        </is>
      </c>
      <c r="I16" s="7" t="inlineStr">
        <is>
          <t>398, 415, 458, 467</t>
        </is>
      </c>
      <c r="J16" s="7" t="inlineStr">
        <is>
          <t>A</t>
        </is>
      </c>
      <c r="K16" s="7" t="inlineStr">
        <is>
          <t>T-7216</t>
        </is>
      </c>
      <c r="L16" s="7" t="inlineStr">
        <is>
          <t>GA uniforme</t>
        </is>
      </c>
      <c r="M16" s="7" t="inlineStr">
        <is>
          <t>Não</t>
        </is>
      </c>
      <c r="N16" s="7" t="inlineStr">
        <is>
          <t>Não</t>
        </is>
      </c>
      <c r="O16" s="7" t="n"/>
      <c r="P16" s="7" t="n"/>
      <c r="Q16" s="7" t="inlineStr">
        <is>
          <t>Não se aplica</t>
        </is>
      </c>
      <c r="R16" s="7" t="inlineStr">
        <is>
          <t>Comparação única para esta dupla de composições.</t>
        </is>
      </c>
      <c r="S16" s="7" t="n"/>
    </row>
    <row r="17">
      <c r="A17" s="7" t="inlineStr">
        <is>
          <t>C026</t>
        </is>
      </c>
      <c r="B17" s="7" t="inlineStr">
        <is>
          <t>P3</t>
        </is>
      </c>
      <c r="C17" s="7" t="inlineStr">
        <is>
          <t>GA calibrado × GA uniforme</t>
        </is>
      </c>
      <c r="D17" s="7" t="inlineStr">
        <is>
          <t>T-5095</t>
        </is>
      </c>
      <c r="E17" s="7" t="inlineStr">
        <is>
          <t>GA uniforme</t>
        </is>
      </c>
      <c r="F17" s="7" t="inlineStr">
        <is>
          <t>81, 282, 336, 370, 415</t>
        </is>
      </c>
      <c r="G17" s="7" t="inlineStr">
        <is>
          <t>T-6676</t>
        </is>
      </c>
      <c r="H17" s="7" t="inlineStr">
        <is>
          <t>GA calibrado</t>
        </is>
      </c>
      <c r="I17" s="7" t="inlineStr">
        <is>
          <t>211, 282, 336, 370, 415</t>
        </is>
      </c>
      <c r="J17" s="7" t="inlineStr">
        <is>
          <t>Equivalente</t>
        </is>
      </c>
      <c r="K17" s="7" t="n"/>
      <c r="L17" s="7" t="inlineStr">
        <is>
          <t>Equivalente</t>
        </is>
      </c>
      <c r="M17" s="7" t="inlineStr">
        <is>
          <t>Empate</t>
        </is>
      </c>
      <c r="N17" s="7" t="inlineStr">
        <is>
          <t>Não</t>
        </is>
      </c>
      <c r="O17" s="7" t="n"/>
      <c r="P17" s="7" t="n"/>
      <c r="Q17" s="7" t="inlineStr">
        <is>
          <t>Não se aplica</t>
        </is>
      </c>
      <c r="R17" s="7" t="inlineStr">
        <is>
          <t>Comparação única para esta dupla de composições.</t>
        </is>
      </c>
      <c r="S17" s="7" t="n"/>
    </row>
    <row r="18">
      <c r="A18" s="7" t="inlineStr">
        <is>
          <t>C027</t>
        </is>
      </c>
      <c r="B18" s="7" t="inlineStr">
        <is>
          <t>P15</t>
        </is>
      </c>
      <c r="C18" s="7" t="inlineStr">
        <is>
          <t>GA calibrado × GA uniforme</t>
        </is>
      </c>
      <c r="D18" s="7" t="inlineStr">
        <is>
          <t>T-9656</t>
        </is>
      </c>
      <c r="E18" s="7" t="inlineStr">
        <is>
          <t>GA calibrado</t>
        </is>
      </c>
      <c r="F18" s="7" t="inlineStr">
        <is>
          <t>467, 498, 563, 570, 583</t>
        </is>
      </c>
      <c r="G18" s="7" t="inlineStr">
        <is>
          <t>T-2273</t>
        </is>
      </c>
      <c r="H18" s="7" t="inlineStr">
        <is>
          <t>GA uniforme</t>
        </is>
      </c>
      <c r="I18" s="7" t="inlineStr">
        <is>
          <t>498, 570, 579, 583, 589</t>
        </is>
      </c>
      <c r="J18" s="7" t="inlineStr">
        <is>
          <t>Equivalente</t>
        </is>
      </c>
      <c r="K18" s="7" t="n"/>
      <c r="L18" s="7" t="inlineStr">
        <is>
          <t>Equivalente</t>
        </is>
      </c>
      <c r="M18" s="7" t="inlineStr">
        <is>
          <t>Empate</t>
        </is>
      </c>
      <c r="N18" s="7" t="inlineStr">
        <is>
          <t>Não</t>
        </is>
      </c>
      <c r="O18" s="7" t="n"/>
      <c r="P18" s="7" t="n"/>
      <c r="Q18" s="7" t="inlineStr">
        <is>
          <t>Não se aplica</t>
        </is>
      </c>
      <c r="R18" s="7" t="inlineStr">
        <is>
          <t>Comparação única para esta dupla de composições.</t>
        </is>
      </c>
      <c r="S18" s="7" t="n"/>
    </row>
    <row r="19">
      <c r="A19" s="7" t="inlineStr">
        <is>
          <t>C028</t>
        </is>
      </c>
      <c r="B19" s="7" t="inlineStr">
        <is>
          <t>P9</t>
        </is>
      </c>
      <c r="C19" s="7" t="inlineStr">
        <is>
          <t>GA calibrado × equipe histórica</t>
        </is>
      </c>
      <c r="D19" s="7" t="inlineStr">
        <is>
          <t>T-1384</t>
        </is>
      </c>
      <c r="E19" s="7" t="inlineStr">
        <is>
          <t>GA calibrado</t>
        </is>
      </c>
      <c r="F19" s="7" t="inlineStr">
        <is>
          <t>94, 290, 382, 484, 560, 647</t>
        </is>
      </c>
      <c r="G19" s="7" t="inlineStr">
        <is>
          <t>T-6406</t>
        </is>
      </c>
      <c r="H19" s="7" t="inlineStr">
        <is>
          <t>Equipe histórica</t>
        </is>
      </c>
      <c r="I19" s="7" t="inlineStr">
        <is>
          <t>222, 449, 473, 492, 742, 751</t>
        </is>
      </c>
      <c r="J19" s="7" t="inlineStr">
        <is>
          <t>B</t>
        </is>
      </c>
      <c r="K19" s="7" t="inlineStr">
        <is>
          <t>T-6406</t>
        </is>
      </c>
      <c r="L19" s="7" t="inlineStr">
        <is>
          <t>Equipe histórica</t>
        </is>
      </c>
      <c r="M19" s="7" t="inlineStr">
        <is>
          <t>Não</t>
        </is>
      </c>
      <c r="N19" s="7" t="inlineStr">
        <is>
          <t>Não</t>
        </is>
      </c>
      <c r="O19" s="7" t="n"/>
      <c r="P19" s="7" t="n"/>
      <c r="Q19" s="7" t="inlineStr">
        <is>
          <t>Não se aplica</t>
        </is>
      </c>
      <c r="R19" s="7" t="inlineStr">
        <is>
          <t>Comparação única para esta dupla de composições.</t>
        </is>
      </c>
      <c r="S19" s="7" t="n"/>
    </row>
    <row r="20">
      <c r="A20" s="7" t="inlineStr">
        <is>
          <t>C031</t>
        </is>
      </c>
      <c r="B20" s="7" t="inlineStr">
        <is>
          <t>P7</t>
        </is>
      </c>
      <c r="C20" s="7" t="inlineStr">
        <is>
          <t>GA calibrado × equipe histórica</t>
        </is>
      </c>
      <c r="D20" s="7" t="inlineStr">
        <is>
          <t>T-1102</t>
        </is>
      </c>
      <c r="E20" s="7" t="inlineStr">
        <is>
          <t>Equipe histórica</t>
        </is>
      </c>
      <c r="F20" s="7" t="inlineStr">
        <is>
          <t>46, 326, 354, 525, 754</t>
        </is>
      </c>
      <c r="G20" s="7" t="inlineStr">
        <is>
          <t>T-8765</t>
        </is>
      </c>
      <c r="H20" s="7" t="inlineStr">
        <is>
          <t>GA calibrado</t>
        </is>
      </c>
      <c r="I20" s="7" t="inlineStr">
        <is>
          <t>81, 282, 336, 370, 415</t>
        </is>
      </c>
      <c r="J20" s="7" t="inlineStr">
        <is>
          <t>A</t>
        </is>
      </c>
      <c r="K20" s="7" t="inlineStr">
        <is>
          <t>T-1102</t>
        </is>
      </c>
      <c r="L20" s="7" t="inlineStr">
        <is>
          <t>Equipe histórica</t>
        </is>
      </c>
      <c r="M20" s="7" t="inlineStr">
        <is>
          <t>Não</t>
        </is>
      </c>
      <c r="N20" s="7" t="inlineStr">
        <is>
          <t>Não</t>
        </is>
      </c>
      <c r="O20" s="7" t="n"/>
      <c r="P20" s="7" t="n"/>
      <c r="Q20" s="7" t="inlineStr">
        <is>
          <t>Não se aplica</t>
        </is>
      </c>
      <c r="R20" s="7" t="inlineStr">
        <is>
          <t>Comparação única para esta dupla de composições.</t>
        </is>
      </c>
      <c r="S20" s="7" t="n"/>
    </row>
    <row r="21">
      <c r="A21" s="7" t="inlineStr">
        <is>
          <t>C032</t>
        </is>
      </c>
      <c r="B21" s="7" t="inlineStr">
        <is>
          <t>P5</t>
        </is>
      </c>
      <c r="C21" s="7" t="inlineStr">
        <is>
          <t>GA calibrado × GA uniforme</t>
        </is>
      </c>
      <c r="D21" s="7" t="inlineStr">
        <is>
          <t>T-8053</t>
        </is>
      </c>
      <c r="E21" s="7" t="inlineStr">
        <is>
          <t>GA uniforme</t>
        </is>
      </c>
      <c r="F21" s="7" t="inlineStr">
        <is>
          <t>336, 370, 398, 415</t>
        </is>
      </c>
      <c r="G21" s="7" t="inlineStr">
        <is>
          <t>T-2822</t>
        </is>
      </c>
      <c r="H21" s="7" t="inlineStr">
        <is>
          <t>GA calibrado</t>
        </is>
      </c>
      <c r="I21" s="7" t="inlineStr">
        <is>
          <t>316, 398, 415, 467</t>
        </is>
      </c>
      <c r="J21" s="7" t="inlineStr">
        <is>
          <t>Equivalente</t>
        </is>
      </c>
      <c r="K21" s="7" t="n"/>
      <c r="L21" s="7" t="inlineStr">
        <is>
          <t>Equivalente</t>
        </is>
      </c>
      <c r="M21" s="7" t="inlineStr">
        <is>
          <t>Empate</t>
        </is>
      </c>
      <c r="N21" s="7" t="inlineStr">
        <is>
          <t>Não</t>
        </is>
      </c>
      <c r="O21" s="7" t="n"/>
      <c r="P21" s="7" t="inlineStr">
        <is>
          <t>R10</t>
        </is>
      </c>
      <c r="Q21" s="7" t="inlineStr">
        <is>
          <t>Consistente</t>
        </is>
      </c>
      <c r="R21" s="7" t="inlineStr">
        <is>
          <t>A mesma dupla de composições foi avaliada mais de uma vez; a decisão normalizada pelo conjunto de integrantes foi mantida.</t>
        </is>
      </c>
      <c r="S21" s="7" t="n"/>
    </row>
    <row r="22">
      <c r="A22" s="7" t="inlineStr">
        <is>
          <t>C033</t>
        </is>
      </c>
      <c r="B22" s="7" t="inlineStr">
        <is>
          <t>P13</t>
        </is>
      </c>
      <c r="C22" s="7" t="inlineStr">
        <is>
          <t>GA calibrado × equipe histórica</t>
        </is>
      </c>
      <c r="D22" s="7" t="inlineStr">
        <is>
          <t>T-1559</t>
        </is>
      </c>
      <c r="E22" s="7" t="inlineStr">
        <is>
          <t>GA calibrado</t>
        </is>
      </c>
      <c r="F22" s="7" t="inlineStr">
        <is>
          <t>498, 583, 589, 720</t>
        </is>
      </c>
      <c r="G22" s="7" t="inlineStr">
        <is>
          <t>T-1300</t>
        </is>
      </c>
      <c r="H22" s="7" t="inlineStr">
        <is>
          <t>Equipe histórica</t>
        </is>
      </c>
      <c r="I22" s="7" t="inlineStr">
        <is>
          <t>583, 700, 705, 720</t>
        </is>
      </c>
      <c r="J22" s="7" t="inlineStr">
        <is>
          <t>B</t>
        </is>
      </c>
      <c r="K22" s="7" t="inlineStr">
        <is>
          <t>T-1300</t>
        </is>
      </c>
      <c r="L22" s="7" t="inlineStr">
        <is>
          <t>Equipe histórica</t>
        </is>
      </c>
      <c r="M22" s="7" t="inlineStr">
        <is>
          <t>Não</t>
        </is>
      </c>
      <c r="N22" s="7" t="inlineStr">
        <is>
          <t>Não</t>
        </is>
      </c>
      <c r="O22" s="7" t="n"/>
      <c r="P22" s="7" t="n"/>
      <c r="Q22" s="7" t="inlineStr">
        <is>
          <t>Não se aplica</t>
        </is>
      </c>
      <c r="R22" s="7" t="inlineStr">
        <is>
          <t>Comparação única para esta dupla de composições.</t>
        </is>
      </c>
      <c r="S22" s="7" t="n"/>
    </row>
    <row r="23">
      <c r="A23" s="7" t="inlineStr">
        <is>
          <t>C034</t>
        </is>
      </c>
      <c r="B23" s="7" t="inlineStr">
        <is>
          <t>P9</t>
        </is>
      </c>
      <c r="C23" s="7" t="inlineStr">
        <is>
          <t>GA calibrado × GA uniforme</t>
        </is>
      </c>
      <c r="D23" s="7" t="inlineStr">
        <is>
          <t>T-8573</t>
        </is>
      </c>
      <c r="E23" s="7" t="inlineStr">
        <is>
          <t>GA uniforme</t>
        </is>
      </c>
      <c r="F23" s="7" t="inlineStr">
        <is>
          <t>282, 335, 336, 398, 415, 467</t>
        </is>
      </c>
      <c r="G23" s="7" t="inlineStr">
        <is>
          <t>T-1384</t>
        </is>
      </c>
      <c r="H23" s="7" t="inlineStr">
        <is>
          <t>GA calibrado</t>
        </is>
      </c>
      <c r="I23" s="7" t="inlineStr">
        <is>
          <t>94, 290, 382, 484, 560, 647</t>
        </is>
      </c>
      <c r="J23" s="7" t="inlineStr">
        <is>
          <t>A</t>
        </is>
      </c>
      <c r="K23" s="7" t="inlineStr">
        <is>
          <t>T-8573</t>
        </is>
      </c>
      <c r="L23" s="7" t="inlineStr">
        <is>
          <t>GA uniforme</t>
        </is>
      </c>
      <c r="M23" s="7" t="inlineStr">
        <is>
          <t>Não</t>
        </is>
      </c>
      <c r="N23" s="7" t="inlineStr">
        <is>
          <t>Não</t>
        </is>
      </c>
      <c r="O23" s="7" t="n"/>
      <c r="P23" s="7" t="inlineStr">
        <is>
          <t>R06</t>
        </is>
      </c>
      <c r="Q23" s="7" t="inlineStr">
        <is>
          <t>Inconsistente</t>
        </is>
      </c>
      <c r="R23" s="7" t="inlineStr">
        <is>
          <t>A mesma dupla de composições foi avaliada mais de uma vez, mas a composição escolhida mudou.</t>
        </is>
      </c>
      <c r="S23" s="7" t="n"/>
    </row>
    <row r="24">
      <c r="A24" s="7" t="inlineStr">
        <is>
          <t>C037</t>
        </is>
      </c>
      <c r="B24" s="7" t="inlineStr">
        <is>
          <t>P7</t>
        </is>
      </c>
      <c r="C24" s="7" t="inlineStr">
        <is>
          <t>GA calibrado × GA uniforme</t>
        </is>
      </c>
      <c r="D24" s="7" t="inlineStr">
        <is>
          <t>T-4479</t>
        </is>
      </c>
      <c r="E24" s="7" t="inlineStr">
        <is>
          <t>GA uniforme</t>
        </is>
      </c>
      <c r="F24" s="7" t="inlineStr">
        <is>
          <t>27, 257, 477, 496, 615</t>
        </is>
      </c>
      <c r="G24" s="7" t="inlineStr">
        <is>
          <t>T-8765</t>
        </is>
      </c>
      <c r="H24" s="7" t="inlineStr">
        <is>
          <t>GA calibrado</t>
        </is>
      </c>
      <c r="I24" s="7" t="inlineStr">
        <is>
          <t>81, 282, 336, 370, 415</t>
        </is>
      </c>
      <c r="J24" s="7" t="inlineStr">
        <is>
          <t>A</t>
        </is>
      </c>
      <c r="K24" s="7" t="inlineStr">
        <is>
          <t>T-4479</t>
        </is>
      </c>
      <c r="L24" s="7" t="inlineStr">
        <is>
          <t>GA uniforme</t>
        </is>
      </c>
      <c r="M24" s="7" t="inlineStr">
        <is>
          <t>Não</t>
        </is>
      </c>
      <c r="N24" s="7" t="inlineStr">
        <is>
          <t>Não</t>
        </is>
      </c>
      <c r="O24" s="7" t="n"/>
      <c r="P24" s="7" t="n"/>
      <c r="Q24" s="7" t="inlineStr">
        <is>
          <t>Não se aplica</t>
        </is>
      </c>
      <c r="R24" s="7" t="inlineStr">
        <is>
          <t>Comparação única para esta dupla de composições.</t>
        </is>
      </c>
      <c r="S24" s="7" t="n"/>
    </row>
    <row r="25">
      <c r="A25" s="7" t="inlineStr">
        <is>
          <t>C038</t>
        </is>
      </c>
      <c r="B25" s="7" t="inlineStr">
        <is>
          <t>P8</t>
        </is>
      </c>
      <c r="C25" s="7" t="inlineStr">
        <is>
          <t>GA calibrado × equipe histórica</t>
        </is>
      </c>
      <c r="D25" s="7" t="inlineStr">
        <is>
          <t>T-4732</t>
        </is>
      </c>
      <c r="E25" s="7" t="inlineStr">
        <is>
          <t>Equipe histórica</t>
        </is>
      </c>
      <c r="F25" s="7" t="inlineStr">
        <is>
          <t>8, 225, 520, 656, 688</t>
        </is>
      </c>
      <c r="G25" s="7" t="inlineStr">
        <is>
          <t>T-1457</t>
        </is>
      </c>
      <c r="H25" s="7" t="inlineStr">
        <is>
          <t>GA calibrado</t>
        </is>
      </c>
      <c r="I25" s="7" t="inlineStr">
        <is>
          <t>81, 336, 370, 398, 415</t>
        </is>
      </c>
      <c r="J25" s="7" t="inlineStr">
        <is>
          <t>B</t>
        </is>
      </c>
      <c r="K25" s="7" t="inlineStr">
        <is>
          <t>T-1457</t>
        </is>
      </c>
      <c r="L25" s="7" t="inlineStr">
        <is>
          <t>GA calibrado</t>
        </is>
      </c>
      <c r="M25" s="7" t="inlineStr">
        <is>
          <t>Sim</t>
        </is>
      </c>
      <c r="N25" s="7" t="inlineStr">
        <is>
          <t>Não</t>
        </is>
      </c>
      <c r="O25" s="7" t="n"/>
      <c r="P25" s="7" t="n"/>
      <c r="Q25" s="7" t="inlineStr">
        <is>
          <t>Não se aplica</t>
        </is>
      </c>
      <c r="R25" s="7" t="inlineStr">
        <is>
          <t>Comparação única para esta dupla de composições.</t>
        </is>
      </c>
      <c r="S25" s="7" t="n"/>
    </row>
    <row r="26">
      <c r="A26" s="7" t="inlineStr">
        <is>
          <t>C039</t>
        </is>
      </c>
      <c r="B26" s="7" t="inlineStr">
        <is>
          <t>P5</t>
        </is>
      </c>
      <c r="C26" s="7" t="inlineStr">
        <is>
          <t>GA calibrado × GA uniforme</t>
        </is>
      </c>
      <c r="D26" s="7" t="inlineStr">
        <is>
          <t>T-2822</t>
        </is>
      </c>
      <c r="E26" s="7" t="inlineStr">
        <is>
          <t>GA calibrado</t>
        </is>
      </c>
      <c r="F26" s="7" t="inlineStr">
        <is>
          <t>316, 398, 415, 467</t>
        </is>
      </c>
      <c r="G26" s="7" t="inlineStr">
        <is>
          <t>T-8053</t>
        </is>
      </c>
      <c r="H26" s="7" t="inlineStr">
        <is>
          <t>GA uniforme</t>
        </is>
      </c>
      <c r="I26" s="7" t="inlineStr">
        <is>
          <t>336, 370, 398, 415</t>
        </is>
      </c>
      <c r="J26" s="7" t="inlineStr">
        <is>
          <t>Equivalente</t>
        </is>
      </c>
      <c r="K26" s="7" t="n"/>
      <c r="L26" s="7" t="inlineStr">
        <is>
          <t>Equivalente</t>
        </is>
      </c>
      <c r="M26" s="7" t="inlineStr">
        <is>
          <t>Empate</t>
        </is>
      </c>
      <c r="N26" s="7" t="inlineStr">
        <is>
          <t>Sim</t>
        </is>
      </c>
      <c r="O26" s="7" t="inlineStr">
        <is>
          <t>C032</t>
        </is>
      </c>
      <c r="P26" s="7" t="inlineStr">
        <is>
          <t>R10</t>
        </is>
      </c>
      <c r="Q26" s="7" t="inlineStr">
        <is>
          <t>Consistente</t>
        </is>
      </c>
      <c r="R26" s="7" t="inlineStr">
        <is>
          <t>A mesma dupla de composições foi avaliada mais de uma vez; a decisão normalizada pelo conjunto de integrantes foi mantida.</t>
        </is>
      </c>
      <c r="S26" s="7" t="n"/>
    </row>
    <row r="27">
      <c r="A27" s="7" t="inlineStr">
        <is>
          <t>C042</t>
        </is>
      </c>
      <c r="B27" s="7" t="inlineStr">
        <is>
          <t>P6</t>
        </is>
      </c>
      <c r="C27" s="7" t="inlineStr">
        <is>
          <t>GA calibrado × equipe histórica</t>
        </is>
      </c>
      <c r="D27" s="7" t="inlineStr">
        <is>
          <t>T-4412</t>
        </is>
      </c>
      <c r="E27" s="7" t="inlineStr">
        <is>
          <t>GA calibrado</t>
        </is>
      </c>
      <c r="F27" s="7" t="inlineStr">
        <is>
          <t>94, 183, 290, 363, 382, 402, 484</t>
        </is>
      </c>
      <c r="G27" s="7" t="inlineStr">
        <is>
          <t>T-8656</t>
        </is>
      </c>
      <c r="H27" s="7" t="inlineStr">
        <is>
          <t>Equipe histórica</t>
        </is>
      </c>
      <c r="I27" s="7" t="inlineStr">
        <is>
          <t>281, 311, 453, 483, 490, 494, 637</t>
        </is>
      </c>
      <c r="J27" s="7" t="inlineStr">
        <is>
          <t>B</t>
        </is>
      </c>
      <c r="K27" s="7" t="inlineStr">
        <is>
          <t>T-8656</t>
        </is>
      </c>
      <c r="L27" s="7" t="inlineStr">
        <is>
          <t>Equipe histórica</t>
        </is>
      </c>
      <c r="M27" s="7" t="inlineStr">
        <is>
          <t>Não</t>
        </is>
      </c>
      <c r="N27" s="7" t="inlineStr">
        <is>
          <t>Não</t>
        </is>
      </c>
      <c r="O27" s="7" t="n"/>
      <c r="P27" s="7" t="n"/>
      <c r="Q27" s="7" t="inlineStr">
        <is>
          <t>Não se aplica</t>
        </is>
      </c>
      <c r="R27" s="7" t="inlineStr">
        <is>
          <t>Comparação única para esta dupla de composições.</t>
        </is>
      </c>
      <c r="S27" s="7" t="n"/>
    </row>
    <row r="28">
      <c r="A28" s="7" t="inlineStr">
        <is>
          <t>C043</t>
        </is>
      </c>
      <c r="B28" s="7" t="inlineStr">
        <is>
          <t>P5</t>
        </is>
      </c>
      <c r="C28" s="7" t="inlineStr">
        <is>
          <t>GA calibrado × equipe histórica</t>
        </is>
      </c>
      <c r="D28" s="7" t="inlineStr">
        <is>
          <t>T-2639</t>
        </is>
      </c>
      <c r="E28" s="7" t="inlineStr">
        <is>
          <t>Equipe histórica</t>
        </is>
      </c>
      <c r="F28" s="7" t="inlineStr">
        <is>
          <t>27, 317, 351, 516</t>
        </is>
      </c>
      <c r="G28" s="7" t="inlineStr">
        <is>
          <t>T-2822</t>
        </is>
      </c>
      <c r="H28" s="7" t="inlineStr">
        <is>
          <t>GA calibrado</t>
        </is>
      </c>
      <c r="I28" s="7" t="inlineStr">
        <is>
          <t>316, 398, 415, 467</t>
        </is>
      </c>
      <c r="J28" s="7" t="inlineStr">
        <is>
          <t>A</t>
        </is>
      </c>
      <c r="K28" s="7" t="inlineStr">
        <is>
          <t>T-2639</t>
        </is>
      </c>
      <c r="L28" s="7" t="inlineStr">
        <is>
          <t>Equipe histórica</t>
        </is>
      </c>
      <c r="M28" s="7" t="inlineStr">
        <is>
          <t>Não</t>
        </is>
      </c>
      <c r="N28" s="7" t="inlineStr">
        <is>
          <t>Não</t>
        </is>
      </c>
      <c r="O28" s="7" t="n"/>
      <c r="P28" s="7" t="inlineStr">
        <is>
          <t>R02</t>
        </is>
      </c>
      <c r="Q28" s="7" t="inlineStr">
        <is>
          <t>Consistente</t>
        </is>
      </c>
      <c r="R28" s="7" t="inlineStr">
        <is>
          <t>A mesma dupla de composições foi avaliada mais de uma vez; a decisão normalizada pelo conjunto de integrantes foi mantida.</t>
        </is>
      </c>
      <c r="S28" s="7" t="n"/>
    </row>
    <row r="29">
      <c r="A29" s="7" t="inlineStr">
        <is>
          <t>C045</t>
        </is>
      </c>
      <c r="B29" s="7" t="inlineStr">
        <is>
          <t>P1</t>
        </is>
      </c>
      <c r="C29" s="7" t="inlineStr">
        <is>
          <t>GA calibrado × GA uniforme</t>
        </is>
      </c>
      <c r="D29" s="7" t="inlineStr">
        <is>
          <t>T-6473</t>
        </is>
      </c>
      <c r="E29" s="7" t="inlineStr">
        <is>
          <t>GA calibrado</t>
        </is>
      </c>
      <c r="F29" s="7" t="inlineStr">
        <is>
          <t>170, 220, 305, 324, 359, 448, 503, 543, 578</t>
        </is>
      </c>
      <c r="G29" s="7" t="inlineStr">
        <is>
          <t>T-4743</t>
        </is>
      </c>
      <c r="H29" s="7" t="inlineStr">
        <is>
          <t>GA uniforme</t>
        </is>
      </c>
      <c r="I29" s="7" t="inlineStr">
        <is>
          <t>170, 220, 305, 324, 359, 448, 503, 544, 578</t>
        </is>
      </c>
      <c r="J29" s="7" t="inlineStr">
        <is>
          <t>Equivalente</t>
        </is>
      </c>
      <c r="K29" s="7" t="n"/>
      <c r="L29" s="7" t="inlineStr">
        <is>
          <t>Equivalente</t>
        </is>
      </c>
      <c r="M29" s="7" t="inlineStr">
        <is>
          <t>Empate</t>
        </is>
      </c>
      <c r="N29" s="7" t="inlineStr">
        <is>
          <t>Não</t>
        </is>
      </c>
      <c r="O29" s="7" t="n"/>
      <c r="P29" s="7" t="n"/>
      <c r="Q29" s="7" t="inlineStr">
        <is>
          <t>Não se aplica</t>
        </is>
      </c>
      <c r="R29" s="7" t="inlineStr">
        <is>
          <t>Comparação única para esta dupla de composições.</t>
        </is>
      </c>
      <c r="S29" s="7" t="n"/>
    </row>
    <row r="30">
      <c r="A30" s="7" t="inlineStr">
        <is>
          <t>C047</t>
        </is>
      </c>
      <c r="B30" s="7" t="inlineStr">
        <is>
          <t>P11</t>
        </is>
      </c>
      <c r="C30" s="7" t="inlineStr">
        <is>
          <t>GA calibrado × equipe histórica</t>
        </is>
      </c>
      <c r="D30" s="7" t="inlineStr">
        <is>
          <t>T-4785</t>
        </is>
      </c>
      <c r="E30" s="7" t="inlineStr">
        <is>
          <t>Equipe histórica</t>
        </is>
      </c>
      <c r="F30" s="7" t="inlineStr">
        <is>
          <t>180, 241, 536, 537, 648, 712, 716, 743, 752</t>
        </is>
      </c>
      <c r="G30" s="7" t="inlineStr">
        <is>
          <t>T-2548</t>
        </is>
      </c>
      <c r="H30" s="7" t="inlineStr">
        <is>
          <t>GA calibrado</t>
        </is>
      </c>
      <c r="I30" s="7" t="inlineStr">
        <is>
          <t>282, 317, 336, 415, 437, 458, 467, 498, 583</t>
        </is>
      </c>
      <c r="J30" s="7" t="inlineStr">
        <is>
          <t>A</t>
        </is>
      </c>
      <c r="K30" s="7" t="inlineStr">
        <is>
          <t>T-4785</t>
        </is>
      </c>
      <c r="L30" s="7" t="inlineStr">
        <is>
          <t>Equipe histórica</t>
        </is>
      </c>
      <c r="M30" s="7" t="inlineStr">
        <is>
          <t>Não</t>
        </is>
      </c>
      <c r="N30" s="7" t="inlineStr">
        <is>
          <t>Não</t>
        </is>
      </c>
      <c r="O30" s="7" t="n"/>
      <c r="P30" s="7" t="n"/>
      <c r="Q30" s="7" t="inlineStr">
        <is>
          <t>Não se aplica</t>
        </is>
      </c>
      <c r="R30" s="7" t="inlineStr">
        <is>
          <t>Comparação única para esta dupla de composições.</t>
        </is>
      </c>
      <c r="S30" s="7" t="n"/>
    </row>
    <row r="31">
      <c r="A31" s="7" t="inlineStr">
        <is>
          <t>C048</t>
        </is>
      </c>
      <c r="B31" s="7" t="inlineStr">
        <is>
          <t>P12</t>
        </is>
      </c>
      <c r="C31" s="7" t="inlineStr">
        <is>
          <t>GA calibrado × equipe histórica</t>
        </is>
      </c>
      <c r="D31" s="7" t="inlineStr">
        <is>
          <t>T-4709</t>
        </is>
      </c>
      <c r="E31" s="7" t="inlineStr">
        <is>
          <t>Equipe histórica</t>
        </is>
      </c>
      <c r="F31" s="7" t="inlineStr">
        <is>
          <t>335, 705, 716, 746</t>
        </is>
      </c>
      <c r="G31" s="7" t="inlineStr">
        <is>
          <t>T-8599</t>
        </is>
      </c>
      <c r="H31" s="7" t="inlineStr">
        <is>
          <t>GA calibrado</t>
        </is>
      </c>
      <c r="I31" s="7" t="inlineStr">
        <is>
          <t>398, 415, 458, 467</t>
        </is>
      </c>
      <c r="J31" s="7" t="inlineStr">
        <is>
          <t>A</t>
        </is>
      </c>
      <c r="K31" s="7" t="inlineStr">
        <is>
          <t>T-4709</t>
        </is>
      </c>
      <c r="L31" s="7" t="inlineStr">
        <is>
          <t>Equipe histórica</t>
        </is>
      </c>
      <c r="M31" s="7" t="inlineStr">
        <is>
          <t>Não</t>
        </is>
      </c>
      <c r="N31" s="7" t="inlineStr">
        <is>
          <t>Não</t>
        </is>
      </c>
      <c r="O31" s="7" t="n"/>
      <c r="P31" s="7" t="n"/>
      <c r="Q31" s="7" t="inlineStr">
        <is>
          <t>Não se aplica</t>
        </is>
      </c>
      <c r="R31" s="7" t="inlineStr">
        <is>
          <t>Comparação única para esta dupla de composições.</t>
        </is>
      </c>
      <c r="S31" s="7" t="n"/>
    </row>
    <row r="32">
      <c r="A32" s="7" t="inlineStr">
        <is>
          <t>C049</t>
        </is>
      </c>
      <c r="B32" s="7" t="inlineStr">
        <is>
          <t>P11</t>
        </is>
      </c>
      <c r="C32" s="7" t="inlineStr">
        <is>
          <t>GA calibrado × GA uniforme</t>
        </is>
      </c>
      <c r="D32" s="7" t="inlineStr">
        <is>
          <t>T-8779</t>
        </is>
      </c>
      <c r="E32" s="7" t="inlineStr">
        <is>
          <t>GA uniforme</t>
        </is>
      </c>
      <c r="F32" s="7" t="inlineStr">
        <is>
          <t>170, 220, 305, 324, 359, 448, 503, 543, 578</t>
        </is>
      </c>
      <c r="G32" s="7" t="inlineStr">
        <is>
          <t>T-2548</t>
        </is>
      </c>
      <c r="H32" s="7" t="inlineStr">
        <is>
          <t>GA calibrado</t>
        </is>
      </c>
      <c r="I32" s="7" t="inlineStr">
        <is>
          <t>282, 317, 336, 415, 437, 458, 467, 498, 583</t>
        </is>
      </c>
      <c r="J32" s="7" t="inlineStr">
        <is>
          <t>A</t>
        </is>
      </c>
      <c r="K32" s="7" t="inlineStr">
        <is>
          <t>T-8779</t>
        </is>
      </c>
      <c r="L32" s="7" t="inlineStr">
        <is>
          <t>GA uniforme</t>
        </is>
      </c>
      <c r="M32" s="7" t="inlineStr">
        <is>
          <t>Não</t>
        </is>
      </c>
      <c r="N32" s="7" t="inlineStr">
        <is>
          <t>Não</t>
        </is>
      </c>
      <c r="O32" s="7" t="n"/>
      <c r="P32" s="7" t="n"/>
      <c r="Q32" s="7" t="inlineStr">
        <is>
          <t>Não se aplica</t>
        </is>
      </c>
      <c r="R32" s="7" t="inlineStr">
        <is>
          <t>Comparação única para esta dupla de composições.</t>
        </is>
      </c>
      <c r="S32" s="7" t="n"/>
    </row>
    <row r="33">
      <c r="A33" s="7" t="inlineStr">
        <is>
          <t>C050</t>
        </is>
      </c>
      <c r="B33" s="7" t="inlineStr">
        <is>
          <t>P10</t>
        </is>
      </c>
      <c r="C33" s="7" t="inlineStr">
        <is>
          <t>GA calibrado × equipe histórica</t>
        </is>
      </c>
      <c r="D33" s="7" t="inlineStr">
        <is>
          <t>T-5887</t>
        </is>
      </c>
      <c r="E33" s="7" t="inlineStr">
        <is>
          <t>GA calibrado</t>
        </is>
      </c>
      <c r="F33" s="7" t="inlineStr">
        <is>
          <t>27, 94, 257, 382, 477, 492, 496, 615</t>
        </is>
      </c>
      <c r="G33" s="7" t="inlineStr">
        <is>
          <t>T-9473</t>
        </is>
      </c>
      <c r="H33" s="7" t="inlineStr">
        <is>
          <t>Equipe histórica</t>
        </is>
      </c>
      <c r="I33" s="7" t="inlineStr">
        <is>
          <t>27, 94, 183, 290, 354, 382, 402, 615</t>
        </is>
      </c>
      <c r="J33" s="7" t="inlineStr">
        <is>
          <t>B</t>
        </is>
      </c>
      <c r="K33" s="7" t="inlineStr">
        <is>
          <t>T-9473</t>
        </is>
      </c>
      <c r="L33" s="7" t="inlineStr">
        <is>
          <t>Equipe histórica</t>
        </is>
      </c>
      <c r="M33" s="7" t="inlineStr">
        <is>
          <t>Não</t>
        </is>
      </c>
      <c r="N33" s="7" t="inlineStr">
        <is>
          <t>Sim</t>
        </is>
      </c>
      <c r="O33" s="7" t="inlineStr">
        <is>
          <t>C001</t>
        </is>
      </c>
      <c r="P33" s="7" t="inlineStr">
        <is>
          <t>R01</t>
        </is>
      </c>
      <c r="Q33" s="7" t="inlineStr">
        <is>
          <t>Consistente</t>
        </is>
      </c>
      <c r="R33" s="7" t="inlineStr">
        <is>
          <t>A mesma dupla de composições foi avaliada mais de uma vez; a decisão normalizada pelo conjunto de integrantes foi mantida.</t>
        </is>
      </c>
      <c r="S33" s="7" t="n"/>
    </row>
    <row r="34">
      <c r="A34" s="7" t="inlineStr">
        <is>
          <t>C052</t>
        </is>
      </c>
      <c r="B34" s="7" t="inlineStr">
        <is>
          <t>P16</t>
        </is>
      </c>
      <c r="C34" s="7" t="inlineStr">
        <is>
          <t>GA calibrado × equipe histórica</t>
        </is>
      </c>
      <c r="D34" s="7" t="inlineStr">
        <is>
          <t>T-9373</t>
        </is>
      </c>
      <c r="E34" s="7" t="inlineStr">
        <is>
          <t>GA calibrado</t>
        </is>
      </c>
      <c r="F34" s="7" t="inlineStr">
        <is>
          <t>81, 282, 316, 317, 336, 370, 398, 415, 467</t>
        </is>
      </c>
      <c r="G34" s="7" t="inlineStr">
        <is>
          <t>T-4887</t>
        </is>
      </c>
      <c r="H34" s="7" t="inlineStr">
        <is>
          <t>Equipe histórica</t>
        </is>
      </c>
      <c r="I34" s="7" t="inlineStr">
        <is>
          <t>265, 281, 363, 509, 620, 677, 692, 725, 757</t>
        </is>
      </c>
      <c r="J34" s="7" t="inlineStr">
        <is>
          <t>B</t>
        </is>
      </c>
      <c r="K34" s="7" t="inlineStr">
        <is>
          <t>T-4887</t>
        </is>
      </c>
      <c r="L34" s="7" t="inlineStr">
        <is>
          <t>Equipe histórica</t>
        </is>
      </c>
      <c r="M34" s="7" t="inlineStr">
        <is>
          <t>Não</t>
        </is>
      </c>
      <c r="N34" s="7" t="inlineStr">
        <is>
          <t>Não</t>
        </is>
      </c>
      <c r="O34" s="7" t="n"/>
      <c r="P34" s="7" t="n"/>
      <c r="Q34" s="7" t="inlineStr">
        <is>
          <t>Não se aplica</t>
        </is>
      </c>
      <c r="R34" s="7" t="inlineStr">
        <is>
          <t>Comparação única para esta dupla de composições.</t>
        </is>
      </c>
      <c r="S34" s="7" t="n"/>
    </row>
    <row r="36">
      <c r="A36" s="9" t="inlineStr">
        <is>
          <t>Original source field names, in column order:</t>
        </is>
      </c>
    </row>
    <row r="37">
      <c r="A37" s="9" t="inlineStr">
        <is>
          <t>ID, Projeto, Tipo de comparação, Equipe A, Origem A, Integrantes A (IDs), Equipe B, Origem B, Integrantes B (IDs), Resposta do especialista, Equipe escolhida, Origem escolhida, GA calibrado venceu?, Repetição planejada?, Linha relacionada, Grupo real repetido, Consistência, Observação de consistência, Comentário do especialista</t>
        </is>
      </c>
    </row>
    <row r="38">
      <c r="A38" s="9" t="inlineStr">
        <is>
          <t>Origin was decoded by matching each roster's developer-ID set against the known compositions from the RQ2-RQ4 source files (comparacao_backtest_ga_vs_real_2025.csv, baseline_GA_UNIFORM_2025_resumo.csv). This sheet retains exactly the paper's design: 19 historical-comparison rows (16 projects, 3 repeated) and 14 GA_uniform-comparison rows (12 projects, 2 repeated). The 19 GA-calibrated-vs-LLM rows originally present in the source were removed (see README, Data preservation and provenance).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9" customWidth="1" min="3" max="3"/>
    <col width="34" customWidth="1" min="4" max="4"/>
    <col width="46" customWidth="1" min="5" max="5"/>
    <col width="20" customWidth="1" min="6" max="6"/>
    <col width="40" customWidth="1" min="7" max="7"/>
  </cols>
  <sheetData>
    <row r="1">
      <c r="A1" s="14" t="inlineStr">
        <is>
          <t>One team at a time — no comparison. Same rule: judge on technical fit and prior collaboration only.</t>
        </is>
      </c>
      <c r="B1" s="11" t="n"/>
      <c r="C1" s="11" t="n"/>
      <c r="D1" s="11" t="n"/>
      <c r="E1" s="11" t="n"/>
      <c r="F1" s="11" t="n"/>
      <c r="G1" s="11" t="n"/>
    </row>
    <row r="2">
      <c r="A2" s="8" t="inlineStr">
        <is>
          <t>Row</t>
        </is>
      </c>
      <c r="B2" s="8" t="inlineStr">
        <is>
          <t>Project</t>
        </is>
      </c>
      <c r="C2" s="8" t="inlineStr">
        <is>
          <t>Team</t>
        </is>
      </c>
      <c r="D2" s="8" t="inlineStr">
        <is>
          <t>Roster</t>
        </is>
      </c>
      <c r="E2" s="8" t="inlineStr">
        <is>
          <t>Indicators for This Roster</t>
        </is>
      </c>
      <c r="F2" s="8" t="inlineStr">
        <is>
          <t>Q1. Would You Staff This Team As-Is?</t>
        </is>
      </c>
      <c r="G2" s="8" t="inlineStr">
        <is>
          <t>Q2. If Not As-Is, What Would You Change? (optional)</t>
        </is>
      </c>
    </row>
    <row r="3">
      <c r="A3" s="7" t="inlineStr">
        <is>
          <t>EXAMPLE</t>
        </is>
      </c>
      <c r="B3" s="7" t="inlineStr">
        <is>
          <t>P03</t>
        </is>
      </c>
      <c r="C3" s="7" t="inlineStr">
        <is>
          <t>T-9210</t>
        </is>
      </c>
      <c r="D3" s="7" t="inlineStr">
        <is>
          <t>Dev311, Dev152, Dev486, Dev097</t>
        </is>
      </c>
      <c r="E3" s="7" t="inlineStr">
        <is>
          <t>TECHNICAL   MUST 3/4 — missing: IoT (domain)
            SHOULD 1/3 · COULD 1/3
DEPTH       0 of 4 MUST items covered by 2+ members
COLLAB      4/6 pairs have worked together (66%)
            mean 1.0 shared projects per pair; 1.5 among those with history
            strongest pair 3 · most recent 2020</t>
        </is>
      </c>
      <c r="F3" s="7" t="inlineStr">
        <is>
          <t>Yes, with minor changes</t>
        </is>
      </c>
      <c r="G3" s="7" t="inlineStr">
        <is>
          <t>Would swap one member for someone with deeper Vue experience.</t>
        </is>
      </c>
    </row>
    <row r="4">
      <c r="A4" s="7" t="inlineStr">
        <is>
          <t>A001</t>
        </is>
      </c>
      <c r="B4" s="7" t="inlineStr">
        <is>
          <t>P5</t>
        </is>
      </c>
      <c r="C4" s="7" t="inlineStr">
        <is>
          <t>T-2822</t>
        </is>
      </c>
      <c r="D4" s="7" t="inlineStr">
        <is>
          <t>Nilo-467
Lara-415
Ravi-398
Mel-316</t>
        </is>
      </c>
      <c r="E4" s="7" t="inlineStr">
        <is>
          <t>TECHNICAL COVERAGE
MUST       1/1   ✓ COMPLETE
SHOULD   5/8   ⚠ 3 MISSING
COULD     21/34   ⚠ 13 MISSING
MANDATORY REQUIREMENTS
✓ Web — 2 member(s)
REDUNDANCY
✓ 1/1 MUST covered by 2+ members
REGISTERED COLLABORATION
Pairs with history: 6/6 (100%)
██████████
Shared projects: 33 total
Mean among pairs with history: 5.5
Strongest-history pair: 8 project(s)</t>
        </is>
      </c>
      <c r="F4" s="7" t="inlineStr">
        <is>
          <t>Yes</t>
        </is>
      </c>
      <c r="G4" s="7" t="inlineStr"/>
    </row>
    <row r="5">
      <c r="A5" s="7" t="inlineStr">
        <is>
          <t>A002</t>
        </is>
      </c>
      <c r="B5" s="7" t="inlineStr">
        <is>
          <t>P6</t>
        </is>
      </c>
      <c r="C5" s="7" t="inlineStr">
        <is>
          <t>T-4412</t>
        </is>
      </c>
      <c r="D5" s="7" t="inlineStr">
        <is>
          <t>Mia-382
Gabi-94
Nilo-402
Tom-183
Davi-290
Ceci-363
Gabi-484</t>
        </is>
      </c>
      <c r="E5" s="7" t="inlineStr">
        <is>
          <t>TECHNICAL COVERAGE
MUST       2/2   ✓ COMPLETE
SHOULD   16/19   ⚠ 3 MISSING
COULD     24/43   ⚠ 19 MISSING
MANDATORY REQUIREMENTS
✓ Android — 7 member(s)
✓ iOS — 4 member(s)
REDUNDANCY
✓ 2/2 MUST covered by 2+ members
REGISTERED COLLABORATION
Pairs with history: 21/21 (100%)
██████████
Shared projects: 79 total
Mean among pairs with history: 3.8
Strongest-history pair: 6 project(s)</t>
        </is>
      </c>
      <c r="F5" s="7" t="inlineStr">
        <is>
          <t>Yes</t>
        </is>
      </c>
      <c r="G5" s="7" t="inlineStr"/>
    </row>
    <row r="6">
      <c r="A6" s="7" t="inlineStr">
        <is>
          <t>A003</t>
        </is>
      </c>
      <c r="B6" s="7" t="inlineStr">
        <is>
          <t>P12</t>
        </is>
      </c>
      <c r="C6" s="7" t="inlineStr">
        <is>
          <t>T-8599</t>
        </is>
      </c>
      <c r="D6" s="7" t="inlineStr">
        <is>
          <t>Ravi-398
Lara-415
Nilo-467
Bia-458</t>
        </is>
      </c>
      <c r="E6" s="7" t="inlineStr">
        <is>
          <t>TECHNICAL COVERAGE
MUST       — NOT DEFINED
SHOULD   6/9   ⚠ 3 MISSING
COULD     21/28   ⚠ 7 MISSING
MANDATORY REQUIREMENTS
No MUST requirement defined.
REDUNDANCY
Not applicable
REGISTERED COLLABORATION
Pairs with history: 6/6 (100%)
██████████
Shared projects: 23 total
Mean among pairs with history: 3.8
Strongest-history pair: 6 project(s)</t>
        </is>
      </c>
      <c r="F6" s="7" t="inlineStr">
        <is>
          <t>No</t>
        </is>
      </c>
      <c r="G6" s="7" t="inlineStr">
        <is>
          <t>Trocaria dois membros da equipe com mais aderencia tecnica</t>
        </is>
      </c>
    </row>
    <row r="7">
      <c r="A7" s="7" t="inlineStr">
        <is>
          <t>A004</t>
        </is>
      </c>
      <c r="B7" s="7" t="inlineStr">
        <is>
          <t>P1</t>
        </is>
      </c>
      <c r="C7" s="7" t="inlineStr">
        <is>
          <t>T-6473</t>
        </is>
      </c>
      <c r="D7" s="7" t="inlineStr">
        <is>
          <t>Luiz-324
Rosa-359
Ana-448
Jade-305
Gael-170
Hugo-543
Eli-503
Ana-578
Lara-220</t>
        </is>
      </c>
      <c r="E7" s="7" t="inlineStr">
        <is>
          <t>TECHNICAL COVERAGE
MUST       2/2   ✓ COMPLETE
SHOULD   13/13   ✓ COMPLETE
COULD     38/65   ⚠ 27 MISSING
MANDATORY REQUIREMENTS
✓ Mobile — 8 member(s)
✓ Web — 9 member(s)
REDUNDANCY
✓ 2/2 MUST covered by 2+ members
REGISTERED COLLABORATION
Pairs with history: 36/36 (100%)
██████████
Shared projects: 160 total
Mean among pairs with history: 4.4
Strongest-history pair: 11 project(s)</t>
        </is>
      </c>
      <c r="F7" s="7" t="inlineStr">
        <is>
          <t>Yes</t>
        </is>
      </c>
      <c r="G7" s="7" t="inlineStr"/>
    </row>
    <row r="8">
      <c r="A8" s="7" t="inlineStr">
        <is>
          <t>A005</t>
        </is>
      </c>
      <c r="B8" s="7" t="inlineStr">
        <is>
          <t>P3</t>
        </is>
      </c>
      <c r="C8" s="7" t="inlineStr">
        <is>
          <t>T-6676</t>
        </is>
      </c>
      <c r="D8" s="7" t="inlineStr">
        <is>
          <t>Lara-415
Jade-370
Enzo-282
Leo-336
Iris-211</t>
        </is>
      </c>
      <c r="E8" s="7" t="inlineStr">
        <is>
          <t>TECHNICAL COVERAGE
MUST       3/3   ✓ COMPLETE
SHOULD   6/15   ⚠ 9 MISSING
COULD     23/50   ⚠ 27 MISSING
MANDATORY REQUIREMENTS
✓ Cloud — 3 member(s)
✓ AWS — 2 member(s)
✓ Docker — 2 member(s)
REDUNDANCY
✓ 3/3 MUST covered by 2+ members
REGISTERED COLLABORATION
Pairs with history: 9/10 (90%)
█████████░
Shared projects: 44 total
Mean among pairs with history: 4.9
Strongest-history pair: 7 project(s)</t>
        </is>
      </c>
      <c r="F8" s="7" t="inlineStr">
        <is>
          <t>Yes</t>
        </is>
      </c>
      <c r="G8" s="7" t="inlineStr"/>
    </row>
    <row r="9">
      <c r="A9" s="7" t="inlineStr">
        <is>
          <t>A006</t>
        </is>
      </c>
      <c r="B9" s="7" t="inlineStr">
        <is>
          <t>P9</t>
        </is>
      </c>
      <c r="C9" s="7" t="inlineStr">
        <is>
          <t>T-1384</t>
        </is>
      </c>
      <c r="D9" s="7" t="inlineStr">
        <is>
          <t>Davi-290
Mia-382
Gael-560
Teo-647
Gabi-484
Gabi-94</t>
        </is>
      </c>
      <c r="E9" s="7" t="inlineStr">
        <is>
          <t>TECHNICAL COVERAGE
MUST       — NOT DEFINED
SHOULD   4/5   ⚠ 1 MISSING
COULD     30/71   ⚠ 41 MISSING
MANDATORY REQUIREMENTS
No MUST requirement defined.
REDUNDANCY
Not applicable
REGISTERED COLLABORATION
Pairs with history: 10/15 (67%)
███████░░░
Shared projects: 43 total
Mean among pairs with history: 4.3
Strongest-history pair: 6 project(s)</t>
        </is>
      </c>
      <c r="F9" s="7" t="inlineStr">
        <is>
          <t>No</t>
        </is>
      </c>
      <c r="G9" s="7" t="inlineStr">
        <is>
          <t>Trocaria algume que tivesse o conhecimento tecnico necessario</t>
        </is>
      </c>
    </row>
    <row r="10">
      <c r="A10" s="7" t="inlineStr">
        <is>
          <t>A007</t>
        </is>
      </c>
      <c r="B10" s="7" t="inlineStr">
        <is>
          <t>P7</t>
        </is>
      </c>
      <c r="C10" s="7" t="inlineStr">
        <is>
          <t>T-8765</t>
        </is>
      </c>
      <c r="D10" s="7" t="inlineStr">
        <is>
          <t>Iris-81
Jade-370
Lara-415
Enzo-282
Leo-336</t>
        </is>
      </c>
      <c r="E10" s="7" t="inlineStr">
        <is>
          <t>TECHNICAL COVERAGE
MUST       1/1   ✓ COMPLETE
SHOULD   12/29   ⚠ 17 MISSING
COULD     15/40   ⚠ 25 MISSING
MANDATORY REQUIREMENTS
✓ Web — 4 member(s)
REDUNDANCY
✓ 1/1 MUST covered by 2+ members
REGISTERED COLLABORATION
Pairs with history: 10/10 (100%)
██████████
Shared projects: 54 total
Mean among pairs with history: 5.4
Strongest-history pair: 7 project(s)</t>
        </is>
      </c>
      <c r="F10" s="7" t="inlineStr">
        <is>
          <t>Yes</t>
        </is>
      </c>
      <c r="G10" s="7" t="inlineStr"/>
    </row>
    <row r="11">
      <c r="A11" s="7" t="inlineStr">
        <is>
          <t>A008</t>
        </is>
      </c>
      <c r="B11" s="7" t="inlineStr">
        <is>
          <t>P11</t>
        </is>
      </c>
      <c r="C11" s="7" t="inlineStr">
        <is>
          <t>T-2548</t>
        </is>
      </c>
      <c r="D11" s="7" t="inlineStr">
        <is>
          <t>Ari-437
Jo-583
Nilo-467
Leo-336
Miro-498
Bia-458
Mia-317
Lara-415
Enzo-282</t>
        </is>
      </c>
      <c r="E11" s="7" t="inlineStr">
        <is>
          <t>TECHNICAL COVERAGE
MUST       — NOT DEFINED
SHOULD   4/5   ⚠ 1 MISSING
COULD     35/56   ⚠ 21 MISSING
MANDATORY REQUIREMENTS
No MUST requirement defined.
REDUNDANCY
Not applicable
REGISTERED COLLABORATION
Pairs with history: 36/36 (100%)
██████████
Shared projects: 153 total
Mean among pairs with history: 4.3
Strongest-history pair: 9 project(s)</t>
        </is>
      </c>
      <c r="F11" s="7" t="inlineStr">
        <is>
          <t>Yes with minor changes</t>
        </is>
      </c>
      <c r="G11" s="7" t="inlineStr"/>
    </row>
    <row r="12">
      <c r="A12" s="7" t="inlineStr">
        <is>
          <t>A009</t>
        </is>
      </c>
      <c r="B12" s="7" t="inlineStr">
        <is>
          <t>P8</t>
        </is>
      </c>
      <c r="C12" s="7" t="inlineStr">
        <is>
          <t>T-1457</t>
        </is>
      </c>
      <c r="D12" s="7" t="inlineStr">
        <is>
          <t>Jade-370
Ravi-398
Lara-415
Leo-336
Iris-81</t>
        </is>
      </c>
      <c r="E12" s="7" t="inlineStr">
        <is>
          <t>TECHNICAL COVERAGE
MUST       2/2   ✓ COMPLETE
SHOULD   17/18   ⚠ 1 MISSING
COULD     15/32   ⚠ 17 MISSING
MANDATORY REQUIREMENTS
✓ Web — 3 member(s)
✓ AWS — 2 member(s)
REDUNDANCY
✓ 2/2 MUST covered by 2+ members
REGISTERED COLLABORATION
Pairs with history: 10/10 (100%)
██████████
Shared projects: 46 total
Mean among pairs with history: 4.6
Strongest-history pair: 6 project(s)</t>
        </is>
      </c>
      <c r="F12" s="7" t="inlineStr">
        <is>
          <t>Yes</t>
        </is>
      </c>
      <c r="G12" s="7" t="inlineStr"/>
    </row>
    <row r="13">
      <c r="A13" s="7" t="inlineStr">
        <is>
          <t>A010</t>
        </is>
      </c>
      <c r="B13" s="7" t="inlineStr">
        <is>
          <t>P2</t>
        </is>
      </c>
      <c r="C13" s="7" t="inlineStr">
        <is>
          <t>T-4526</t>
        </is>
      </c>
      <c r="D13" s="7" t="inlineStr">
        <is>
          <t>Nina-7
Davi-290
Gabi-484
Raul-33
Gabi-94
Gael-560
Mia-447
Nina-397</t>
        </is>
      </c>
      <c r="E13" s="7" t="inlineStr">
        <is>
          <t>TECHNICAL COVERAGE
MUST       — NOT DEFINED
SHOULD   11/20   ⚠ 9 MISSING
COULD     29/57   ⚠ 28 MISSING
MANDATORY REQUIREMENTS
No MUST requirement defined.
REDUNDANCY
Not applicable
REGISTERED COLLABORATION
Pairs with history: 21/28 (75%)
████████░░
Shared projects: 89 total
Mean among pairs with history: 4.2
Strongest-history pair: 18 project(s)</t>
        </is>
      </c>
      <c r="F13" s="7" t="inlineStr">
        <is>
          <t>No</t>
        </is>
      </c>
      <c r="G13" s="7" t="inlineStr">
        <is>
          <t xml:space="preserve">Trocaria para 2 membros da equipe, para pessoas com conhecimento mais necessario ao projeto </t>
        </is>
      </c>
    </row>
    <row r="14">
      <c r="A14" s="7" t="inlineStr">
        <is>
          <t>A011</t>
        </is>
      </c>
      <c r="B14" s="7" t="inlineStr">
        <is>
          <t>P13</t>
        </is>
      </c>
      <c r="C14" s="7" t="inlineStr">
        <is>
          <t>T-1559</t>
        </is>
      </c>
      <c r="D14" s="7" t="inlineStr">
        <is>
          <t>Caio-589
Jo-583
Miro-498
Ivo-720</t>
        </is>
      </c>
      <c r="E14" s="7" t="inlineStr">
        <is>
          <t>TECHNICAL COVERAGE
MUST       4/4   ✓ COMPLETE
SHOULD   3/3   ✓ COMPLETE
COULD     7/8   ⚠ 1 MISSING
MANDATORY REQUIREMENTS
✓ Hardware — 4 member(s)
✓ NumPy — 3 member(s)
✓ C — 4 member(s)
✓ Python — 4 member(s)
REDUNDANCY
✓ 4/4 MUST covered by 2+ members
REGISTERED COLLABORATION
Pairs with history: 6/6 (100%)
██████████
Shared projects: 30 total
Mean among pairs with history: 5.0
Strongest-history pair: 6 project(s)</t>
        </is>
      </c>
      <c r="F14" s="7" t="inlineStr">
        <is>
          <t>Yes</t>
        </is>
      </c>
      <c r="G14" s="7" t="inlineStr"/>
    </row>
    <row r="15">
      <c r="A15" s="7" t="inlineStr">
        <is>
          <t>A012</t>
        </is>
      </c>
      <c r="B15" s="7" t="inlineStr">
        <is>
          <t>P10</t>
        </is>
      </c>
      <c r="C15" s="7" t="inlineStr">
        <is>
          <t>T-5887</t>
        </is>
      </c>
      <c r="D15" s="7" t="inlineStr">
        <is>
          <t>Davi-615
Teo-257
Enzo-477
Gabi-94
Lino-496
Mia-382
Bela-492
Mila-27</t>
        </is>
      </c>
      <c r="E15" s="7" t="inlineStr">
        <is>
          <t>TECHNICAL COVERAGE
MUST       1/1   ✓ COMPLETE
SHOULD   26/27   ⚠ 1 MISSING
COULD     39/72   ⚠ 33 MISSING
MANDATORY REQUIREMENTS
✓ Web — 7 member(s)
REDUNDANCY
✓ 1/1 MUST covered by 2+ members
REGISTERED COLLABORATION
Pairs with history: 28/28 (100%)
██████████
Shared projects: 128 total
Mean among pairs with history: 4.6
Strongest-history pair: 8 project(s)</t>
        </is>
      </c>
      <c r="F15" s="7" t="inlineStr">
        <is>
          <t>Yes with minor changes</t>
        </is>
      </c>
      <c r="G15" s="7" t="inlineStr"/>
    </row>
    <row r="16">
      <c r="A16" s="7" t="inlineStr">
        <is>
          <t>A013</t>
        </is>
      </c>
      <c r="B16" s="7" t="inlineStr">
        <is>
          <t>P15</t>
        </is>
      </c>
      <c r="C16" s="7" t="inlineStr">
        <is>
          <t>T-9656</t>
        </is>
      </c>
      <c r="D16" s="7" t="inlineStr">
        <is>
          <t>Miro-563
Miro-498
Jo-583
Nilo-467
Ian-570</t>
        </is>
      </c>
      <c r="E16" s="7" t="inlineStr">
        <is>
          <t>TECHNICAL COVERAGE
MUST       — NOT DEFINED
SHOULD   10/23   ⚠ 13 MISSING
COULD     10/31   ⚠ 21 MISSING
MANDATORY REQUIREMENTS
No MUST requirement defined.
REDUNDANCY
Not applicable
REGISTERED COLLABORATION
Pairs with history: 9/10 (90%)
█████████░
Shared projects: 37 total
Mean among pairs with history: 4.1
Strongest-history pair: 6 project(s)</t>
        </is>
      </c>
      <c r="F16" s="7" t="inlineStr">
        <is>
          <t>No</t>
        </is>
      </c>
      <c r="G16" s="7" t="inlineStr">
        <is>
          <t xml:space="preserve">Trocaria dois membros de equipes com maior aderencia ao projeto </t>
        </is>
      </c>
    </row>
    <row r="17">
      <c r="A17" s="7" t="inlineStr">
        <is>
          <t>A014</t>
        </is>
      </c>
      <c r="B17" s="7" t="inlineStr">
        <is>
          <t>P14</t>
        </is>
      </c>
      <c r="C17" s="7" t="inlineStr">
        <is>
          <t>T-2098</t>
        </is>
      </c>
      <c r="D17" s="7" t="inlineStr">
        <is>
          <t>Rosa-359
Lara-220
Ivan-357
Eli-503</t>
        </is>
      </c>
      <c r="E17" s="7" t="inlineStr">
        <is>
          <t>TECHNICAL COVERAGE
MUST       4/4   ✓ COMPLETE
SHOULD   4/4   ✓ COMPLETE
COULD     23/45   ⚠ 22 MISSING
MANDATORY REQUIREMENTS
✓ Web — 4 member(s)
✓ Angular — 4 member(s)
✓ Progressive Web App (PWA) — 4 member(s)
✓ CSS — 3 member(s)
REDUNDANCY
✓ 4/4 MUST covered by 2+ members
REGISTERED COLLABORATION
Pairs with history: 6/6 (100%)
██████████
Shared projects: 28 total
Mean among pairs with history: 4.7
Strongest-history pair: 6 project(s)</t>
        </is>
      </c>
      <c r="F17" s="7" t="inlineStr">
        <is>
          <t>Yes</t>
        </is>
      </c>
      <c r="G17" s="7" t="inlineStr"/>
    </row>
    <row r="18">
      <c r="A18" s="7" t="inlineStr">
        <is>
          <t>A015</t>
        </is>
      </c>
      <c r="B18" s="7" t="inlineStr">
        <is>
          <t>P4</t>
        </is>
      </c>
      <c r="C18" s="7" t="inlineStr">
        <is>
          <t>T-2703</t>
        </is>
      </c>
      <c r="D18" s="7" t="inlineStr">
        <is>
          <t>Bela-492
Teo-257
Lino-496
Gabi-94
Mia-382
Enzo-477
Mila-27
Jade-500
Davi-615</t>
        </is>
      </c>
      <c r="E18" s="7" t="inlineStr">
        <is>
          <t>TECHNICAL COVERAGE
MUST       2/2   ✓ COMPLETE
SHOULD   15/17   ⚠ 2 MISSING
COULD     43/79   ⚠ 36 MISSING
MANDATORY REQUIREMENTS
✓ Web — 8 member(s)
✓ AWS — 7 member(s)
REDUNDANCY
✓ 2/2 MUST covered by 2+ members
REGISTERED COLLABORATION
Pairs with history: 36/36 (100%)
██████████
Shared projects: 184 total
Mean among pairs with history: 5.1
Strongest-history pair: 22 project(s)</t>
        </is>
      </c>
      <c r="F18" s="7" t="inlineStr">
        <is>
          <t>Yes</t>
        </is>
      </c>
      <c r="G18" s="7" t="inlineStr"/>
    </row>
    <row r="19">
      <c r="A19" s="7" t="inlineStr">
        <is>
          <t>A016</t>
        </is>
      </c>
      <c r="B19" s="7" t="inlineStr">
        <is>
          <t>P16</t>
        </is>
      </c>
      <c r="C19" s="7" t="inlineStr">
        <is>
          <t>T-9373</t>
        </is>
      </c>
      <c r="D19" s="7" t="inlineStr">
        <is>
          <t>Mia-317
Iris-81
Mel-316
Nilo-467
Lara-415
Jade-370
Ravi-398
Leo-336
Enzo-282</t>
        </is>
      </c>
      <c r="E19" s="7" t="inlineStr">
        <is>
          <t>TECHNICAL COVERAGE
MUST       — NOT DEFINED
SHOULD   10/12   ⚠ 2 MISSING
COULD     33/57   ⚠ 24 MISSING
MANDATORY REQUIREMENTS
No MUST requirement defined.
REDUNDANCY
Not applicable
REGISTERED COLLABORATION
Pairs with history: 36/36 (100%)
██████████
Shared projects: 201 total
Mean among pairs with history: 5.6
Strongest-history pair: 12 project(s)</t>
        </is>
      </c>
      <c r="F19" s="7" t="inlineStr">
        <is>
          <t>Yes with minor changes</t>
        </is>
      </c>
      <c r="G19" s="7" t="inlineStr">
        <is>
          <t xml:space="preserve">Trocaria 1 membro da equipe com maior aderencia tecnica ao projeto </t>
        </is>
      </c>
    </row>
    <row r="21">
      <c r="A21" s="9" t="inlineStr">
        <is>
          <t>Original source field names, in column order:</t>
        </is>
      </c>
    </row>
    <row r="22">
      <c r="A22" s="9" t="inlineStr">
        <is>
          <t>Row, Project, Team, Roster, Indicators for this roster, Q1. Would you staff this team as-is?, Q2. If not as-is, what would you change? (optional)</t>
        </is>
      </c>
    </row>
    <row r="23">
      <c r="A23" s="9" t="inlineStr">
        <is>
          <t>Row 3 (Row = EXAMPLE) is an illustrative worked example, not a real participant response; it is excluded from all Summary tallies.</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11" customWidth="1" min="3" max="3"/>
    <col width="8" customWidth="1" min="4" max="4"/>
    <col width="9" customWidth="1" min="5" max="5"/>
    <col width="68" customWidth="1" min="6" max="6"/>
  </cols>
  <sheetData>
    <row r="1">
      <c r="A1" s="8" t="inlineStr">
        <is>
          <t>Relative Source Path</t>
        </is>
      </c>
      <c r="B1" s="8" t="inlineStr">
        <is>
          <t>Type</t>
        </is>
      </c>
      <c r="C1" s="8" t="inlineStr">
        <is>
          <t>Bytes</t>
        </is>
      </c>
      <c r="D1" s="8" t="inlineStr">
        <is>
          <t>Rows</t>
        </is>
      </c>
      <c r="E1" s="8" t="inlineStr">
        <is>
          <t>Columns</t>
        </is>
      </c>
      <c r="F1" s="8" t="inlineStr">
        <is>
          <t>SHA-256</t>
        </is>
      </c>
    </row>
    <row r="2">
      <c r="A2" s="9" t="inlineStr">
        <is>
          <t>validação final expert/comparacoes_modelo.csv</t>
        </is>
      </c>
      <c r="B2" s="9" t="inlineStr">
        <is>
          <t>csv</t>
        </is>
      </c>
      <c r="C2" s="9" t="n">
        <v>55794</v>
      </c>
      <c r="D2" s="9" t="n">
        <v>54</v>
      </c>
      <c r="E2" s="9" t="n">
        <v>14</v>
      </c>
      <c r="F2" s="9" t="inlineStr">
        <is>
          <t>ba332c51328aa363f4a3f3e005b5551044760c74c1285ca0c7c8562c68466bed</t>
        </is>
      </c>
    </row>
    <row r="3">
      <c r="A3" s="9" t="inlineStr">
        <is>
          <t>validação final expert/[TFP] expert_study_workbook - Acceptability.csv</t>
        </is>
      </c>
      <c r="B3" s="9" t="inlineStr">
        <is>
          <t>csv</t>
        </is>
      </c>
      <c r="C3" s="9" t="n">
        <v>8908</v>
      </c>
      <c r="D3" s="9" t="n">
        <v>18</v>
      </c>
      <c r="E3" s="9" t="n">
        <v>7</v>
      </c>
      <c r="F3" s="9" t="inlineStr">
        <is>
          <t>a182bd4a1c44eb0c921ec4c6509d14e6678bbf898ad9520afb17ef770aa816f3</t>
        </is>
      </c>
    </row>
    <row r="4">
      <c r="A4" s="9" t="inlineStr">
        <is>
          <t>REPOSITÓRIOS DOS EXPERIMENTOS/resultados_especialista_e_bn_surrogate (1).xlsx</t>
        </is>
      </c>
      <c r="B4" s="9" t="inlineStr">
        <is>
          <t>xlsx</t>
        </is>
      </c>
      <c r="C4" s="9" t="n">
        <v>30159</v>
      </c>
      <c r="D4" s="9" t="n"/>
      <c r="E4" s="9" t="n"/>
      <c r="F4" s="9" t="inlineStr">
        <is>
          <t>a7257200b74a5bbf43921d30233fdc399c935aacc13034e5dfc4eafbec108b0e</t>
        </is>
      </c>
    </row>
    <row r="5">
      <c r="A5" s="9" t="inlineStr">
        <is>
          <t>SEIP_ICSE__27__Felipe_/EVIDENCIAS_WORKSHOP_TEAMPLUS_RQ5.md</t>
        </is>
      </c>
      <c r="B5" s="9" t="inlineStr">
        <is>
          <t>md</t>
        </is>
      </c>
      <c r="C5" s="9" t="n">
        <v>7137</v>
      </c>
      <c r="D5" s="9" t="n"/>
      <c r="E5" s="9" t="n"/>
      <c r="F5" s="9" t="inlineStr">
        <is>
          <t>c6bf3d95f2c5e190952f78bb2dc92a77571805150b0c6fb2a971f2672167a3f3</t>
        </is>
      </c>
    </row>
    <row r="6">
      <c r="A6" s="9" t="inlineStr">
        <is>
          <t>SEIP_ICSE__27__Felipe_/RELATORIO_INVESTIGACAO_VALIDACAO_FINAL_RQ5.md</t>
        </is>
      </c>
      <c r="B6" s="9" t="inlineStr">
        <is>
          <t>md</t>
        </is>
      </c>
      <c r="C6" s="9" t="n">
        <v>14892</v>
      </c>
      <c r="D6" s="9" t="n"/>
      <c r="E6" s="9" t="n"/>
      <c r="F6" s="9" t="inlineStr">
        <is>
          <t>4200acf00049dbd6cde377230ef2cf4b778e94689084681c823093cfea8f2e40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2026-08-30T01:26:15Z</dcterms:created>
  <dcterms:modified xmlns:dcterms="http://purl.org/dc/terms/" xmlns:xsi="http://www.w3.org/2001/XMLSchema-instance" xsi:type="dcterms:W3CDTF">2026-08-30T01:26:15Z</dcterms:modified>
</cp:coreProperties>
</file>